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havas-my.sharepoint.com/personal/justina_miseviciute_globalservs_com/Documents/Desktop/"/>
    </mc:Choice>
  </mc:AlternateContent>
  <xr:revisionPtr revIDLastSave="4492" documentId="13_ncr:1_{52AB44F1-2137-4B82-AFE1-9D94BD7FDC83}" xr6:coauthVersionLast="47" xr6:coauthVersionMax="47" xr10:uidLastSave="{BF68F4CF-C450-4266-A00B-7776E7F77554}"/>
  <bookViews>
    <workbookView xWindow="-108" yWindow="-108" windowWidth="23256" windowHeight="12456" firstSheet="1" activeTab="1" xr2:uid="{B4EB8666-3EE3-4113-8844-875B4EF63C30}"/>
  </bookViews>
  <sheets>
    <sheet name="DATA" sheetId="30" state="hidden" r:id="rId1"/>
    <sheet name="Facts &amp; Figures" sheetId="31" r:id="rId2"/>
    <sheet name="Customer Satisfaction Tracker" sheetId="32" r:id="rId3"/>
    <sheet name="Company Balance Sheet" sheetId="34" r:id="rId4"/>
  </sheets>
  <definedNames>
    <definedName name="_xlnm._FilterDatabase" localSheetId="0" hidden="1">DATA!$A$1:$I$46</definedName>
    <definedName name="age">#REF!</definedName>
    <definedName name="namecount">#REF!</definedName>
    <definedName name="Network">#REF!</definedName>
    <definedName name="Slicer_Accounts1">#N/A</definedName>
    <definedName name="Slicer_Date11">#N/A</definedName>
    <definedName name="Slicer_Year">#N/A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32" l="1"/>
  <c r="Y6" i="32"/>
  <c r="Y3" i="32"/>
  <c r="E22" i="32"/>
  <c r="C22" i="32"/>
  <c r="V21" i="32"/>
  <c r="V22" i="32" s="1"/>
  <c r="D22" i="32"/>
  <c r="F22" i="32"/>
  <c r="G22" i="32"/>
  <c r="H22" i="32"/>
  <c r="J22" i="32"/>
  <c r="K22" i="32"/>
  <c r="L22" i="32"/>
  <c r="M22" i="32"/>
  <c r="N22" i="32"/>
  <c r="O22" i="32"/>
  <c r="P22" i="32"/>
  <c r="R22" i="32"/>
  <c r="S22" i="32"/>
  <c r="T22" i="32"/>
  <c r="U22" i="32"/>
  <c r="D21" i="32"/>
  <c r="E21" i="32"/>
  <c r="F21" i="32"/>
  <c r="G21" i="32"/>
  <c r="H21" i="32"/>
  <c r="I21" i="32"/>
  <c r="I22" i="32" s="1"/>
  <c r="J21" i="32"/>
  <c r="K21" i="32"/>
  <c r="L21" i="32"/>
  <c r="M21" i="32"/>
  <c r="N21" i="32"/>
  <c r="O21" i="32"/>
  <c r="P21" i="32"/>
  <c r="Q21" i="32"/>
  <c r="Q22" i="32" s="1"/>
  <c r="R21" i="32"/>
  <c r="S21" i="32"/>
  <c r="T21" i="32"/>
  <c r="U21" i="32"/>
  <c r="W21" i="32"/>
  <c r="W22" i="32" s="1"/>
  <c r="C21" i="32"/>
  <c r="Y17" i="32"/>
  <c r="X15" i="32"/>
  <c r="Y15" i="32" s="1"/>
  <c r="X16" i="32"/>
  <c r="Y16" i="32" s="1"/>
  <c r="X17" i="32"/>
  <c r="X18" i="32"/>
  <c r="Y18" i="32" s="1"/>
  <c r="X19" i="32"/>
  <c r="Y19" i="32" s="1"/>
  <c r="X14" i="32"/>
  <c r="Y14" i="32" s="1"/>
  <c r="B9" i="32" l="1"/>
  <c r="B6" i="32"/>
  <c r="C12" i="32"/>
  <c r="C13" i="32" a="1"/>
  <c r="C13" i="32" s="1"/>
  <c r="D12" i="32"/>
  <c r="E12" i="32" s="1"/>
  <c r="F12" i="32" s="1"/>
  <c r="G12" i="32" s="1"/>
  <c r="H12" i="32" s="1"/>
  <c r="I12" i="32" s="1"/>
  <c r="J12" i="32" s="1"/>
  <c r="K12" i="32" s="1"/>
  <c r="L12" i="32" s="1"/>
  <c r="M12" i="32" s="1"/>
  <c r="N12" i="32" s="1"/>
  <c r="O12" i="32" s="1"/>
  <c r="P12" i="32" s="1"/>
  <c r="Q12" i="32" s="1"/>
  <c r="R12" i="32" s="1"/>
  <c r="S12" i="32" s="1"/>
  <c r="T12" i="32" s="1"/>
  <c r="U12" i="32" s="1"/>
  <c r="V12" i="32" s="1"/>
  <c r="W12" i="32" s="1"/>
  <c r="M123" i="30"/>
  <c r="M122" i="30"/>
  <c r="M125" i="30"/>
  <c r="M124" i="30"/>
  <c r="M121" i="30"/>
  <c r="H12" i="31" l="1"/>
  <c r="H13" i="31"/>
  <c r="H14" i="31"/>
  <c r="H15" i="31"/>
  <c r="H16" i="31"/>
  <c r="H17" i="31"/>
  <c r="H18" i="31"/>
  <c r="H19" i="31"/>
  <c r="H20" i="31"/>
  <c r="H21" i="31"/>
  <c r="H22" i="31"/>
  <c r="H11" i="31"/>
  <c r="C21" i="31"/>
  <c r="C22" i="31"/>
  <c r="C12" i="31"/>
  <c r="C13" i="31"/>
  <c r="C14" i="31"/>
  <c r="C15" i="31"/>
  <c r="C16" i="31"/>
  <c r="C17" i="31"/>
  <c r="C18" i="31"/>
  <c r="C19" i="31"/>
  <c r="C20" i="31"/>
  <c r="C11" i="31"/>
  <c r="E3" i="30"/>
  <c r="E4" i="30"/>
  <c r="E5" i="30"/>
  <c r="E6" i="30"/>
  <c r="E7" i="30"/>
  <c r="E8" i="30"/>
  <c r="E9" i="30"/>
  <c r="E10" i="30"/>
  <c r="E11" i="30"/>
  <c r="E12" i="30"/>
  <c r="E13" i="30"/>
  <c r="E14" i="30"/>
  <c r="E15" i="30"/>
  <c r="E16" i="30"/>
  <c r="E17" i="30"/>
  <c r="E18" i="30"/>
  <c r="E19" i="30"/>
  <c r="E20" i="30"/>
  <c r="E21" i="30"/>
  <c r="E22" i="30"/>
  <c r="E23" i="30"/>
  <c r="E24" i="30"/>
  <c r="E25" i="30"/>
  <c r="E26" i="30"/>
  <c r="E27" i="30"/>
  <c r="E28" i="30"/>
  <c r="E29" i="30"/>
  <c r="E30" i="30"/>
  <c r="E31" i="30"/>
  <c r="E32" i="30"/>
  <c r="E33" i="30"/>
  <c r="E34" i="30"/>
  <c r="E35" i="30"/>
  <c r="E36" i="30"/>
  <c r="E37" i="30"/>
  <c r="E38" i="30"/>
  <c r="E39" i="30"/>
  <c r="E40" i="30"/>
  <c r="E41" i="30"/>
  <c r="E42" i="30"/>
  <c r="E43" i="30"/>
  <c r="E44" i="30"/>
  <c r="E45" i="30"/>
  <c r="E46" i="30"/>
  <c r="E2" i="30"/>
  <c r="E22" i="31"/>
  <c r="J19" i="31"/>
  <c r="I12" i="31"/>
  <c r="J11" i="31"/>
  <c r="E15" i="31"/>
  <c r="E20" i="31"/>
  <c r="J15" i="31"/>
  <c r="D14" i="31"/>
  <c r="E18" i="31"/>
  <c r="D21" i="31"/>
  <c r="E17" i="31"/>
  <c r="I13" i="31"/>
  <c r="D19" i="31"/>
  <c r="E12" i="31"/>
  <c r="D15" i="31"/>
  <c r="J22" i="31"/>
  <c r="E16" i="31"/>
  <c r="E19" i="31"/>
  <c r="I18" i="31"/>
  <c r="D22" i="31"/>
  <c r="E13" i="31"/>
  <c r="D13" i="31"/>
  <c r="D20" i="31"/>
  <c r="J17" i="31"/>
  <c r="I22" i="31"/>
  <c r="J14" i="31"/>
  <c r="J20" i="31"/>
  <c r="I11" i="31"/>
  <c r="D11" i="31"/>
  <c r="I20" i="31"/>
  <c r="D12" i="31"/>
  <c r="D17" i="31"/>
  <c r="I14" i="31"/>
  <c r="J21" i="31"/>
  <c r="I15" i="31"/>
  <c r="D18" i="31"/>
  <c r="I21" i="31"/>
  <c r="I19" i="31"/>
  <c r="J12" i="31"/>
  <c r="J13" i="31"/>
  <c r="E21" i="31"/>
  <c r="D16" i="31"/>
  <c r="J18" i="31"/>
  <c r="I16" i="31"/>
  <c r="J16" i="31"/>
  <c r="I17" i="31"/>
  <c r="E11" i="31"/>
  <c r="E14" i="31"/>
  <c r="F11" i="31" l="1"/>
  <c r="K22" i="31"/>
  <c r="K12" i="31"/>
  <c r="K15" i="31"/>
  <c r="J23" i="31"/>
  <c r="K11" i="31"/>
  <c r="K13" i="31"/>
  <c r="I23" i="31"/>
  <c r="K16" i="31"/>
  <c r="K21" i="31"/>
  <c r="K14" i="31"/>
  <c r="K17" i="31"/>
  <c r="K19" i="31"/>
  <c r="K18" i="31"/>
  <c r="K20" i="31"/>
  <c r="F19" i="31"/>
  <c r="F20" i="31"/>
  <c r="F21" i="31"/>
  <c r="F22" i="31"/>
  <c r="F18" i="31"/>
  <c r="E23" i="31"/>
  <c r="F12" i="31"/>
  <c r="D23" i="31"/>
  <c r="F13" i="31"/>
  <c r="F14" i="31"/>
  <c r="F16" i="31"/>
  <c r="F15" i="31"/>
  <c r="F17" i="31"/>
  <c r="K23" i="31" l="1"/>
  <c r="F23" i="3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<sst xmlns="http://schemas.openxmlformats.org/spreadsheetml/2006/main" count="271" uniqueCount="88">
  <si>
    <t>Year</t>
  </si>
  <si>
    <t>Helper</t>
  </si>
  <si>
    <t>Actual</t>
  </si>
  <si>
    <t>Customer Satisfaction</t>
  </si>
  <si>
    <t>May</t>
  </si>
  <si>
    <t>Variance</t>
  </si>
  <si>
    <t>Row Labels</t>
  </si>
  <si>
    <t>Grand Total</t>
  </si>
  <si>
    <t>Column Labels</t>
  </si>
  <si>
    <t>June</t>
  </si>
  <si>
    <t>January</t>
  </si>
  <si>
    <t>February</t>
  </si>
  <si>
    <t>March</t>
  </si>
  <si>
    <t>April</t>
  </si>
  <si>
    <t>July</t>
  </si>
  <si>
    <t>August</t>
  </si>
  <si>
    <t>September</t>
  </si>
  <si>
    <t>October</t>
  </si>
  <si>
    <t>November</t>
  </si>
  <si>
    <t>December</t>
  </si>
  <si>
    <t>Date</t>
  </si>
  <si>
    <t>Accounts</t>
  </si>
  <si>
    <t>Description</t>
  </si>
  <si>
    <t>Week 1</t>
  </si>
  <si>
    <t>Week 2</t>
  </si>
  <si>
    <t>Week 3</t>
  </si>
  <si>
    <t>Task Completed</t>
  </si>
  <si>
    <t>% Completed</t>
  </si>
  <si>
    <t>Total Completed</t>
  </si>
  <si>
    <t>Worst Habit</t>
  </si>
  <si>
    <t>Month</t>
  </si>
  <si>
    <t>Passengers</t>
  </si>
  <si>
    <t>Load Factor</t>
  </si>
  <si>
    <t>On Time</t>
  </si>
  <si>
    <t>CO2 Emissions</t>
  </si>
  <si>
    <t>65g</t>
  </si>
  <si>
    <t>64g</t>
  </si>
  <si>
    <t>67g</t>
  </si>
  <si>
    <t>66g</t>
  </si>
  <si>
    <t>69g</t>
  </si>
  <si>
    <t>70g</t>
  </si>
  <si>
    <t>75g</t>
  </si>
  <si>
    <t>77g</t>
  </si>
  <si>
    <t>73g</t>
  </si>
  <si>
    <t>76g</t>
  </si>
  <si>
    <t>78g</t>
  </si>
  <si>
    <t>Month (number)</t>
  </si>
  <si>
    <t>Passengers (M)</t>
  </si>
  <si>
    <t>Sum of Passengers</t>
  </si>
  <si>
    <t>Average of Load Factor</t>
  </si>
  <si>
    <t>Average of On Time</t>
  </si>
  <si>
    <t>Average of Customer Satisfaction</t>
  </si>
  <si>
    <t>(blank)</t>
  </si>
  <si>
    <t>Passengers 2023</t>
  </si>
  <si>
    <t>Passengers 2024</t>
  </si>
  <si>
    <t>Passengers by Month</t>
  </si>
  <si>
    <t>Customer Satisfaction by Month</t>
  </si>
  <si>
    <t>Satisfaction 2023</t>
  </si>
  <si>
    <t>Satisfaction 2024</t>
  </si>
  <si>
    <t>Data source: https://corporate.ryanair.com/facts-figures/key-stats/</t>
  </si>
  <si>
    <t xml:space="preserve"> Passenger satisfaction</t>
  </si>
  <si>
    <t>Pricing policy</t>
  </si>
  <si>
    <t>Website</t>
  </si>
  <si>
    <t>Flight schedule &amp; routes</t>
  </si>
  <si>
    <t>Airport services</t>
  </si>
  <si>
    <t>During flight</t>
  </si>
  <si>
    <t>After landing</t>
  </si>
  <si>
    <t>Tracking Start Date</t>
  </si>
  <si>
    <t>Best Satisfaction</t>
  </si>
  <si>
    <t>100% Satisfaction</t>
  </si>
  <si>
    <t>50% Satisfaction</t>
  </si>
  <si>
    <t>0% Satisfaction</t>
  </si>
  <si>
    <t>Non-current assets</t>
  </si>
  <si>
    <t>Current assets</t>
  </si>
  <si>
    <t>Investments in subsidiaries</t>
  </si>
  <si>
    <t xml:space="preserve">Loans and receivables due from subsidiaries </t>
  </si>
  <si>
    <t>Cash and cash equivalents</t>
  </si>
  <si>
    <t>Current liabilities</t>
  </si>
  <si>
    <t>Amounts due to subsidiaries</t>
  </si>
  <si>
    <t>Shareholders’ equity</t>
  </si>
  <si>
    <t>Issued share capital</t>
  </si>
  <si>
    <t>Share premium account</t>
  </si>
  <si>
    <t>Other undenominated capital reserve</t>
  </si>
  <si>
    <t>Retained earnings</t>
  </si>
  <si>
    <t>Other reserves</t>
  </si>
  <si>
    <t>https://investor.ryanair.com/wp-content/uploads/2024/06/Ryanair-2024-Annual-Report.pdf</t>
  </si>
  <si>
    <t>Actual (€)</t>
  </si>
  <si>
    <t>Data source: https://investor.ryanair.com/wp-content/uploads/2024/06/Ryanair-2024-Annual-Report.pdf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</si>
</sst>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0.0"/>
    <numFmt numFmtId="166" formatCode="_(* #,##0_);_(* \(#,##0\);_(* &quot;-&quot;??_);_(@_)"/>
    <numFmt numFmtId="168" formatCode="ddd"/>
    <numFmt numFmtId="169" formatCode="#\ &quot;Days&quot;"/>
  </numFmts>
  <fonts count="12" x14ac:knownFonts="1">
    <font>
      <sz val="11"/>
      <color theme="1"/>
      <name val="Calibri"/>
      <family val="2"/>
      <scheme val="minor"/>
    </font>
    <font>
      <sz val="11"/>
      <color theme="1"/>
      <name val="Calibri"/>
      <family val="2"/>
      <scheme val="minor"/>
    </font>
    <font>
      <sz val="12"/>
      <color theme="1"/>
      <name val="Calibri"/>
      <family val="2"/>
      <scheme val="minor"/>
    </font>
    <font>
      <u/>
      <sz val="12"/>
      <color theme="10"/>
      <name val="Calibri"/>
      <family val="2"/>
      <scheme val="minor"/>
    </font>
    <font>
      <b/>
      <sz val="11"/>
      <color theme="0"/>
      <name val="Calibri"/>
      <family val="2"/>
      <charset val="186"/>
      <scheme val="minor"/>
    </font>
    <font>
      <sz val="11"/>
      <color theme="0"/>
      <name val="Calibri"/>
      <family val="2"/>
      <scheme val="minor"/>
    </font>
    <font>
      <b/>
      <sz val="11"/>
      <color theme="0"/>
      <name val="Calibri"/>
      <family val="2"/>
      <scheme val="minor"/>
    </font>
    <font>
      <sz val="10"/>
      <color theme="1"/>
      <name val="Calibri"/>
      <family val="2"/>
      <scheme val="minor"/>
    </font>
    <font>
      <b/>
      <sz val="11"/>
      <color theme="1"/>
      <name val="Calibri"/>
      <family val="2"/>
      <scheme val="minor"/>
    </font>
    <font>
      <sz val="11"/>
      <name val="Calibri"/>
      <family val="2"/>
      <scheme val="minor"/>
    </font>
    <font>
      <sz val="11"/>
      <color rgb="FF103C8A"/>
      <name val="Calibri"/>
      <family val="2"/>
      <scheme val="minor"/>
    </font>
    <font>
      <sz val="11"/>
      <color rgb="FF103C8A"/>
      <name val="Playbill"/>
      <family val="5"/>
    </font>
  </fonts>
  <fills count="10">
    <fill>
      <patternFill patternType="none"/>
    </fill>
    <fill>
      <patternFill patternType="gray125"/>
    </fill>
    <fill>
      <patternFill patternType="solid">
        <fgColor rgb="FF073673"/>
        <bgColor indexed="64"/>
      </patternFill>
    </fill>
    <fill>
      <patternFill patternType="solid">
        <fgColor theme="4" tint="0.79998168889431442"/>
        <bgColor indexed="64"/>
      </patternFill>
    </fill>
    <fill>
      <patternFill patternType="solid">
        <fgColor rgb="FF103C8A"/>
        <bgColor indexed="64"/>
      </patternFill>
    </fill>
    <fill>
      <patternFill patternType="solid">
        <fgColor rgb="FFF1C933"/>
        <bgColor indexed="64"/>
      </patternFill>
    </fill>
    <fill>
      <patternFill patternType="solid">
        <fgColor rgb="FFFFFF00"/>
        <bgColor theme="4" tint="0.79998168889431442"/>
      </patternFill>
    </fill>
    <fill>
      <patternFill patternType="solid">
        <fgColor rgb="FFFFFF00"/>
        <bgColor indexed="64"/>
      </patternFill>
    </fill>
    <fill>
      <patternFill patternType="solid">
        <fgColor rgb="FFF5D767"/>
        <bgColor indexed="64"/>
      </patternFill>
    </fill>
    <fill>
      <patternFill patternType="solid">
        <fgColor rgb="FFF7DE81"/>
        <bgColor indexed="64"/>
      </patternFill>
    </fill>
  </fills>
  <borders count="6">
    <border>
      <left/>
      <right/>
      <top/>
      <bottom/>
      <diagonal/>
    </border>
    <border>
      <left/>
      <right/>
      <top/>
      <bottom style="double">
        <color indexed="64"/>
      </bottom>
      <diagonal/>
    </border>
    <border>
      <left/>
      <right/>
      <top/>
      <bottom style="medium">
        <color theme="0"/>
      </bottom>
      <diagonal/>
    </border>
    <border>
      <left/>
      <right/>
      <top style="thin">
        <color indexed="64"/>
      </top>
      <bottom style="thin">
        <color indexed="64"/>
      </bottom>
      <diagonal/>
    </border>
    <border>
      <left/>
      <right/>
      <top/>
      <bottom style="thin">
        <color theme="4" tint="0.39997558519241921"/>
      </bottom>
      <diagonal/>
    </border>
    <border>
      <left/>
      <right/>
      <top/>
      <bottom style="medium">
        <color rgb="FF103C8A"/>
      </bottom>
      <diagonal/>
    </border>
  </borders>
  <cellStyleXfs count="5">
    <xf numFmtId="0" fontId="0" fillId="0" borderId="0"/>
    <xf numFmtId="9" fontId="1" fillId="0" borderId="0" applyFont="0" applyFill="0" applyBorder="0" applyAlignment="0" applyProtection="0"/>
    <xf numFmtId="0" fontId="2" fillId="0" borderId="0"/>
    <xf numFmtId="0" fontId="3" fillId="0" borderId="0" applyNumberFormat="0" applyFill="0" applyBorder="0" applyAlignment="0" applyProtection="0"/>
    <xf numFmtId="164" fontId="1" fillId="0" borderId="0" applyFont="0" applyFill="0" applyBorder="0" applyAlignment="0" applyProtection="0"/>
  </cellStyleXfs>
  <cellXfs count="49">
    <xf numFmtId="0" fontId="0" fillId="0" borderId="0" xfId="0"/>
    <xf numFmtId="0" fontId="0" fillId="0" borderId="0" xfId="0" applyAlignment="1">
      <alignment horizontal="center"/>
    </xf>
    <xf numFmtId="0" fontId="0" fillId="0" borderId="1" xfId="0" applyBorder="1"/>
    <xf numFmtId="9" fontId="0" fillId="0" borderId="0" xfId="1" applyFont="1"/>
    <xf numFmtId="0" fontId="0" fillId="0" borderId="0" xfId="0" pivotButton="1"/>
    <xf numFmtId="0" fontId="0" fillId="0" borderId="0" xfId="0" applyAlignment="1">
      <alignment horizontal="left"/>
    </xf>
    <xf numFmtId="166" fontId="0" fillId="0" borderId="0" xfId="4" applyNumberFormat="1" applyFont="1"/>
    <xf numFmtId="166" fontId="0" fillId="0" borderId="0" xfId="0" applyNumberFormat="1"/>
    <xf numFmtId="0" fontId="0" fillId="3" borderId="0" xfId="0" applyFill="1"/>
    <xf numFmtId="0" fontId="6" fillId="2" borderId="0" xfId="0" applyFont="1" applyFill="1" applyAlignment="1">
      <alignment horizontal="center"/>
    </xf>
    <xf numFmtId="14" fontId="0" fillId="0" borderId="0" xfId="0" applyNumberFormat="1" applyAlignment="1">
      <alignment horizontal="center" vertical="center"/>
    </xf>
    <xf numFmtId="0" fontId="5" fillId="0" borderId="0" xfId="0" applyFont="1"/>
    <xf numFmtId="9" fontId="0" fillId="0" borderId="0" xfId="0" applyNumberFormat="1"/>
    <xf numFmtId="0" fontId="0" fillId="4" borderId="0" xfId="0" applyFill="1"/>
    <xf numFmtId="0" fontId="5" fillId="4" borderId="0" xfId="0" applyFont="1" applyFill="1"/>
    <xf numFmtId="0" fontId="4" fillId="5" borderId="0" xfId="0" applyFont="1" applyFill="1"/>
    <xf numFmtId="0" fontId="0" fillId="0" borderId="3" xfId="0" applyBorder="1"/>
    <xf numFmtId="166" fontId="0" fillId="0" borderId="3" xfId="0" applyNumberFormat="1" applyBorder="1"/>
    <xf numFmtId="9" fontId="0" fillId="0" borderId="3" xfId="1" applyFont="1" applyBorder="1"/>
    <xf numFmtId="0" fontId="7" fillId="0" borderId="0" xfId="0" applyFont="1"/>
    <xf numFmtId="9" fontId="1" fillId="0" borderId="0" xfId="1" applyFont="1"/>
    <xf numFmtId="0" fontId="8" fillId="6" borderId="4" xfId="0" applyFont="1" applyFill="1" applyBorder="1"/>
    <xf numFmtId="9" fontId="0" fillId="7" borderId="0" xfId="0" applyNumberFormat="1" applyFill="1"/>
    <xf numFmtId="0" fontId="5" fillId="4" borderId="0" xfId="0" applyFont="1" applyFill="1" applyAlignment="1">
      <alignment horizontal="center" vertical="center"/>
    </xf>
    <xf numFmtId="0" fontId="5" fillId="5" borderId="0" xfId="0" applyFont="1" applyFill="1" applyAlignment="1">
      <alignment horizontal="center" vertical="center"/>
    </xf>
    <xf numFmtId="168" fontId="5" fillId="5" borderId="0" xfId="0" applyNumberFormat="1" applyFont="1" applyFill="1" applyAlignment="1">
      <alignment horizontal="center" vertical="center"/>
    </xf>
    <xf numFmtId="0" fontId="5" fillId="8" borderId="0" xfId="0" applyFont="1" applyFill="1" applyAlignment="1">
      <alignment horizontal="center" vertical="center"/>
    </xf>
    <xf numFmtId="168" fontId="5" fillId="8" borderId="0" xfId="0" applyNumberFormat="1" applyFont="1" applyFill="1" applyAlignment="1">
      <alignment horizontal="center" vertical="center"/>
    </xf>
    <xf numFmtId="0" fontId="10" fillId="0" borderId="0" xfId="0" applyFont="1">
      <extLst>
        <ext xmlns:xfpb="http://schemas.microsoft.com/office/spreadsheetml/2022/featurepropertybag" uri="{C7286773-470A-42A8-94C5-96B5CB345126}">
          <xfpb:xfComplement i="0"/>
        </ext>
      </extLst>
    </xf>
    <xf numFmtId="0" fontId="5" fillId="9" borderId="0" xfId="0" applyFont="1" applyFill="1" applyAlignment="1">
      <alignment horizontal="center" vertical="center"/>
    </xf>
    <xf numFmtId="168" fontId="5" fillId="9" borderId="0" xfId="0" applyNumberFormat="1" applyFont="1" applyFill="1" applyAlignment="1">
      <alignment horizontal="center" vertical="center"/>
    </xf>
    <xf numFmtId="0" fontId="9" fillId="0" borderId="0" xfId="0" applyFont="1"/>
    <xf numFmtId="0" fontId="11" fillId="0" borderId="0" xfId="0" applyFont="1"/>
    <xf numFmtId="169" fontId="0" fillId="0" borderId="0" xfId="0" applyNumberFormat="1" applyAlignment="1">
      <alignment horizontal="center"/>
    </xf>
    <xf numFmtId="165" fontId="5" fillId="0" borderId="0" xfId="0" applyNumberFormat="1" applyFont="1"/>
    <xf numFmtId="0" fontId="6" fillId="0" borderId="0" xfId="0" applyFont="1" applyAlignment="1">
      <alignment horizontal="center"/>
    </xf>
    <xf numFmtId="4" fontId="0" fillId="0" borderId="0" xfId="0" applyNumberFormat="1"/>
    <xf numFmtId="0" fontId="0" fillId="3" borderId="2" xfId="0" applyFill="1" applyBorder="1" applyAlignment="1">
      <alignment horizontal="left"/>
    </xf>
    <xf numFmtId="9" fontId="0" fillId="0" borderId="0" xfId="1" applyFont="1" applyFill="1"/>
    <xf numFmtId="0" fontId="0" fillId="0" borderId="2" xfId="0" applyBorder="1" applyAlignment="1">
      <alignment horizontal="left" indent="1"/>
    </xf>
    <xf numFmtId="164" fontId="5" fillId="0" borderId="2" xfId="0" applyNumberFormat="1" applyFont="1" applyBorder="1"/>
    <xf numFmtId="164" fontId="6" fillId="3" borderId="2" xfId="0" applyNumberFormat="1" applyFont="1" applyFill="1" applyBorder="1"/>
    <xf numFmtId="0" fontId="5" fillId="4" borderId="5" xfId="0" applyFont="1" applyFill="1" applyBorder="1"/>
    <xf numFmtId="9" fontId="5" fillId="0" borderId="0" xfId="1" applyFont="1"/>
    <xf numFmtId="0" fontId="0" fillId="4" borderId="5" xfId="0" applyFill="1" applyBorder="1"/>
    <xf numFmtId="0" fontId="4" fillId="4" borderId="0" xfId="0" applyFont="1" applyFill="1" applyAlignment="1">
      <alignment horizontal="center"/>
    </xf>
    <xf numFmtId="0" fontId="5" fillId="5" borderId="0" xfId="0" applyFont="1" applyFill="1" applyAlignment="1">
      <alignment horizontal="center" vertical="center"/>
    </xf>
    <xf numFmtId="0" fontId="5" fillId="8" borderId="0" xfId="0" applyFont="1" applyFill="1" applyAlignment="1">
      <alignment horizontal="center" vertical="center"/>
    </xf>
    <xf numFmtId="0" fontId="5" fillId="9" borderId="0" xfId="0" applyFont="1" applyFill="1" applyAlignment="1">
      <alignment horizontal="center" vertical="center"/>
    </xf>
  </cellXfs>
  <cellStyles count="5">
    <cellStyle name="Comma" xfId="4" builtinId="3"/>
    <cellStyle name="Hyperlink 2" xfId="3" xr:uid="{C8B8CE5F-7B45-438F-966B-CAABC58979A7}"/>
    <cellStyle name="Normal" xfId="0" builtinId="0"/>
    <cellStyle name="Normal 2" xfId="2" xr:uid="{49F53DE0-3937-4A82-B672-9CFED5E7DE10}"/>
    <cellStyle name="Percent" xfId="1" builtinId="5"/>
  </cellStyles>
  <dxfs count="107">
    <dxf>
      <border>
        <bottom style="medium">
          <color rgb="FF103C8A"/>
        </bottom>
      </border>
    </dxf>
    <dxf>
      <font>
        <b/>
      </font>
    </dxf>
    <dxf>
      <font>
        <b/>
      </font>
    </dxf>
    <dxf>
      <font>
        <b/>
      </font>
    </dxf>
    <dxf>
      <font>
        <b/>
      </font>
    </dxf>
    <dxf>
      <font>
        <b val="0"/>
      </font>
    </dxf>
    <dxf>
      <fill>
        <patternFill>
          <bgColor auto="1"/>
        </patternFill>
      </fill>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border>
        <bottom style="medium">
          <color theme="0"/>
        </bottom>
      </border>
    </dxf>
    <dxf>
      <font>
        <color theme="0"/>
      </font>
    </dxf>
    <dxf>
      <numFmt numFmtId="164" formatCode="_(* #,##0.00_);_(* \(#,##0.00\);_(* &quot;-&quot;??_);_(@_)"/>
    </dxf>
    <dxf>
      <numFmt numFmtId="170" formatCode="_(* #,##0.0_);_(* \(#,##0.0\);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bottom style="medium">
          <color theme="0"/>
        </bottom>
      </border>
    </dxf>
    <dxf>
      <border>
        <bottom style="medium">
          <color theme="0"/>
        </bottom>
      </border>
    </dxf>
    <dxf>
      <border>
        <bottom style="medium">
          <color theme="0"/>
        </bottom>
      </border>
    </dxf>
    <dxf>
      <border>
        <bottom style="medium">
          <color theme="0"/>
        </bottom>
      </border>
    </dxf>
    <dxf>
      <numFmt numFmtId="166" formatCode="_(* #,##0_);_(* \(#,##0\);_(* &quot;-&quot;??_);_(@_)"/>
    </dxf>
    <dxf>
      <numFmt numFmtId="166" formatCode="_(* #,##0_);_(* \(#,##0\);_(* &quot;-&quot;??_);_(@_)"/>
    </dxf>
    <dxf>
      <numFmt numFmtId="166" formatCode="_(* #,##0_);_(* \(#,##0\);_(* &quot;-&quot;??_);_(@_)"/>
    </dxf>
    <dxf>
      <numFmt numFmtId="166" formatCode="_(* #,##0_);_(* \(#,##0\);_(* &quot;-&quot;??_);_(@_)"/>
    </dxf>
    <dxf>
      <font>
        <color theme="0"/>
      </font>
    </dxf>
    <dxf>
      <fill>
        <patternFill>
          <bgColor rgb="FF103C8A"/>
        </patternFill>
      </fill>
    </dxf>
    <dxf>
      <font>
        <color auto="1"/>
      </font>
    </dxf>
    <dxf>
      <fill>
        <patternFill>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ont>
        <color theme="0"/>
      </font>
    </dxf>
    <dxf>
      <fill>
        <patternFill patternType="solid">
          <bgColor rgb="FF103C8A"/>
        </patternFill>
      </fill>
    </dxf>
    <dxf>
      <numFmt numFmtId="13" formatCode="0%"/>
    </dxf>
    <dxf>
      <numFmt numFmtId="13" formatCode="0%"/>
    </dxf>
    <dxf>
      <numFmt numFmtId="13" formatCode="0%"/>
    </dxf>
    <dxf>
      <numFmt numFmtId="166" formatCode="_(* #,##0_);_(* \(#,##0\);_(* &quot;-&quot;??_);_(@_)"/>
    </dxf>
    <dxf>
      <numFmt numFmtId="13" formatCode="0%"/>
    </dxf>
    <dxf>
      <numFmt numFmtId="13" formatCode="0%"/>
    </dxf>
    <dxf>
      <numFmt numFmtId="166" formatCode="_(* #,##0_);_(* \(#,##0\);_(* &quot;-&quot;??_);_(@_)"/>
    </dxf>
    <dxf>
      <numFmt numFmtId="166" formatCode="_(* #,##0_);_(* \(#,##0\);_(* &quot;-&quot;??_);_(@_)"/>
    </dxf>
    <dxf>
      <numFmt numFmtId="13" formatCode="0%"/>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color theme="0"/>
      </font>
      <border>
        <bottom style="thin">
          <color theme="4"/>
        </bottom>
        <vertical/>
        <horizontal/>
      </border>
    </dxf>
    <dxf>
      <font>
        <color theme="1"/>
      </font>
      <fill>
        <patternFill>
          <bgColor rgb="FF103C8A"/>
        </patternFill>
      </fill>
      <border>
        <left style="thin">
          <color rgb="FF103C8A"/>
        </left>
        <right style="thin">
          <color rgb="FF103C8A"/>
        </right>
        <top style="thin">
          <color rgb="FF103C8A"/>
        </top>
        <bottom style="thin">
          <color rgb="FF103C8A"/>
        </bottom>
        <vertical/>
        <horizontal/>
      </border>
    </dxf>
    <dxf>
      <font>
        <color theme="0"/>
      </font>
      <fill>
        <patternFill>
          <bgColor rgb="FF103C8A"/>
        </patternFill>
      </fill>
      <border>
        <bottom style="thin">
          <color theme="4"/>
        </bottom>
        <vertical/>
        <horizontal/>
      </border>
    </dxf>
    <dxf>
      <font>
        <color theme="0"/>
      </font>
      <fill>
        <patternFill>
          <bgColor rgb="FF103C8A"/>
        </patternFill>
      </fill>
      <border diagonalUp="1" diagonalDown="1">
        <left style="thin">
          <color auto="1"/>
        </left>
        <right style="thin">
          <color auto="1"/>
        </right>
        <top style="thin">
          <color auto="1"/>
        </top>
        <bottom style="thin">
          <color auto="1"/>
        </bottom>
        <diagonal style="thin">
          <color auto="1"/>
        </diagonal>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fill>
        <patternFill patternType="solid">
          <fgColor theme="4" tint="0.79998168889431442"/>
          <bgColor theme="4" tint="0.79998168889431442"/>
        </patternFill>
      </fill>
    </dxf>
    <dxf>
      <font>
        <b/>
        <color theme="1"/>
      </font>
    </dxf>
    <dxf>
      <font>
        <b/>
        <color theme="1"/>
      </font>
      <fill>
        <patternFill patternType="solid">
          <fgColor theme="4" tint="0.59999389629810485"/>
          <bgColor theme="4" tint="0.59999389629810485"/>
        </patternFill>
      </fill>
    </dxf>
    <dxf>
      <font>
        <b/>
        <color theme="1"/>
      </font>
      <border>
        <left style="medium">
          <color theme="4" tint="0.59999389629810485"/>
        </left>
        <right style="medium">
          <color theme="4" tint="0.59999389629810485"/>
        </right>
        <top style="medium">
          <color theme="4" tint="0.59999389629810485"/>
        </top>
        <bottom style="medium">
          <color theme="4" tint="0.59999389629810485"/>
        </bottom>
      </border>
    </dxf>
    <dxf>
      <border>
        <left style="thin">
          <color theme="4" tint="0.39997558519241921"/>
        </left>
        <right style="thin">
          <color theme="4" tint="0.39997558519241921"/>
        </right>
      </border>
    </dxf>
    <dxf>
      <border>
        <top style="thin">
          <color theme="4" tint="0.39997558519241921"/>
        </top>
        <bottom style="thin">
          <color theme="4" tint="0.39997558519241921"/>
        </bottom>
        <horizontal style="thin">
          <color theme="4" tint="0.39997558519241921"/>
        </horizontal>
      </border>
    </dxf>
    <dxf>
      <font>
        <b/>
        <color theme="1"/>
      </font>
      <border>
        <top style="thin">
          <color theme="4" tint="-0.249977111117893"/>
        </top>
        <bottom style="medium">
          <color theme="4" tint="-0.249977111117893"/>
        </bottom>
      </border>
    </dxf>
    <dxf>
      <font>
        <b/>
        <color theme="0"/>
      </font>
      <fill>
        <patternFill patternType="solid">
          <fgColor theme="4"/>
          <bgColor rgb="FF073673"/>
        </patternFill>
      </fill>
      <border>
        <top style="medium">
          <color theme="4" tint="-0.249977111117893"/>
        </top>
      </border>
    </dxf>
    <dxf>
      <font>
        <color theme="1"/>
      </font>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fill>
        <patternFill patternType="solid">
          <fgColor theme="4" tint="0.79998168889431442"/>
          <bgColor theme="4" tint="0.79998168889431442"/>
        </patternFill>
      </fill>
    </dxf>
    <dxf>
      <font>
        <b/>
        <color theme="1"/>
      </font>
    </dxf>
    <dxf>
      <font>
        <b/>
        <color theme="1"/>
      </font>
      <fill>
        <patternFill patternType="solid">
          <fgColor theme="4" tint="0.59999389629810485"/>
          <bgColor theme="4" tint="0.59999389629810485"/>
        </patternFill>
      </fill>
    </dxf>
    <dxf>
      <font>
        <b/>
        <color theme="1"/>
      </font>
      <border>
        <left style="medium">
          <color theme="4" tint="0.59999389629810485"/>
        </left>
        <right style="medium">
          <color theme="4" tint="0.59999389629810485"/>
        </right>
        <top style="medium">
          <color theme="4" tint="0.59999389629810485"/>
        </top>
        <bottom style="medium">
          <color theme="4" tint="0.59999389629810485"/>
        </bottom>
      </border>
    </dxf>
    <dxf>
      <border>
        <left style="thin">
          <color theme="4" tint="0.39997558519241921"/>
        </left>
        <right style="thin">
          <color theme="4" tint="0.39997558519241921"/>
        </right>
      </border>
    </dxf>
    <dxf>
      <border>
        <top style="thin">
          <color theme="4" tint="0.39997558519241921"/>
        </top>
        <bottom style="thin">
          <color theme="4" tint="0.39997558519241921"/>
        </bottom>
        <horizontal style="thin">
          <color theme="4" tint="0.39997558519241921"/>
        </horizontal>
      </border>
    </dxf>
    <dxf>
      <font>
        <b/>
        <color theme="1"/>
      </font>
      <border>
        <top style="thin">
          <color theme="4" tint="-0.249977111117893"/>
        </top>
        <bottom style="medium">
          <color theme="4" tint="-0.249977111117893"/>
        </bottom>
      </border>
    </dxf>
    <dxf>
      <font>
        <b/>
        <color theme="0"/>
      </font>
      <fill>
        <patternFill patternType="solid">
          <fgColor theme="4"/>
          <bgColor rgb="FF074673"/>
        </patternFill>
      </fill>
      <border>
        <top style="medium">
          <color theme="4" tint="-0.249977111117893"/>
        </top>
      </border>
    </dxf>
    <dxf>
      <font>
        <color theme="1"/>
      </font>
    </dxf>
  </dxfs>
  <tableStyles count="7" defaultTableStyle="TableStyleMedium2" defaultPivotStyle="PivotStyleLight16">
    <tableStyle name="PivotStyleMedium9 2" table="0" count="12" xr9:uid="{F286925A-7E42-4E26-9A5B-ACFF01FB6952}">
      <tableStyleElement type="wholeTable" dxfId="106"/>
      <tableStyleElement type="headerRow" dxfId="105"/>
      <tableStyleElement type="totalRow" dxfId="104"/>
      <tableStyleElement type="firstRowStripe" dxfId="103"/>
      <tableStyleElement type="firstColumnStripe" dxfId="102"/>
      <tableStyleElement type="firstSubtotalColumn" dxfId="101"/>
      <tableStyleElement type="firstSubtotalRow" dxfId="100"/>
      <tableStyleElement type="secondSubtotalRow" dxfId="99"/>
      <tableStyleElement type="firstRowSubheading" dxfId="98"/>
      <tableStyleElement type="secondRowSubheading" dxfId="97"/>
      <tableStyleElement type="pageFieldLabels" dxfId="96"/>
      <tableStyleElement type="pageFieldValues" dxfId="95"/>
    </tableStyle>
    <tableStyle name="PivotStyleMedium9 2 2" table="0" count="12" xr9:uid="{85F22949-D0EB-4717-A952-5CBDBA647F00}">
      <tableStyleElement type="wholeTable" dxfId="94"/>
      <tableStyleElement type="headerRow" dxfId="93"/>
      <tableStyleElement type="totalRow" dxfId="92"/>
      <tableStyleElement type="firstRowStripe" dxfId="91"/>
      <tableStyleElement type="firstColumnStripe" dxfId="90"/>
      <tableStyleElement type="firstSubtotalColumn" dxfId="89"/>
      <tableStyleElement type="firstSubtotalRow" dxfId="88"/>
      <tableStyleElement type="secondSubtotalRow" dxfId="87"/>
      <tableStyleElement type="firstRowSubheading" dxfId="86"/>
      <tableStyleElement type="secondRowSubheading" dxfId="85"/>
      <tableStyleElement type="pageFieldLabels" dxfId="84"/>
      <tableStyleElement type="pageFieldValues" dxfId="83"/>
    </tableStyle>
    <tableStyle name="Slicer Style 1" pivot="0" table="0" count="2" xr9:uid="{325AE02A-38E3-4A0E-B402-B7DCF34F896D}"/>
    <tableStyle name="SlicerStyleLight1 2" pivot="0" table="0" count="10" xr9:uid="{DFA59FCF-9F05-4317-A1D1-E96F597D41D0}">
      <tableStyleElement type="wholeTable" dxfId="82"/>
      <tableStyleElement type="headerRow" dxfId="81"/>
    </tableStyle>
    <tableStyle name="SlicerStyleLight1 3" pivot="0" table="0" count="10" xr9:uid="{EBF6C07D-C2A4-4DF4-AD66-9BC1B5DF01DF}">
      <tableStyleElement type="wholeTable" dxfId="80"/>
      <tableStyleElement type="headerRow" dxfId="79"/>
    </tableStyle>
    <tableStyle name="SlicerStyleLight1 4" pivot="0" table="0" count="10" xr9:uid="{D6360371-17A4-4075-A05A-56B26F3C1441}">
      <tableStyleElement type="wholeTable" dxfId="78"/>
      <tableStyleElement type="headerRow" dxfId="77"/>
    </tableStyle>
    <tableStyle name="SlicerStyleLight1 5" pivot="0" table="0" count="10" xr9:uid="{A48A14D7-A26E-4374-9C56-2A696F8B4A8E}">
      <tableStyleElement type="wholeTable" dxfId="76"/>
      <tableStyleElement type="headerRow" dxfId="75"/>
    </tableStyle>
  </tableStyles>
  <colors>
    <mruColors>
      <color rgb="FFF1C933"/>
      <color rgb="FF103C8A"/>
      <color rgb="FF002060"/>
      <color rgb="FFFFFFFF"/>
      <color rgb="FFF7DE81"/>
      <color rgb="FFF8E396"/>
      <color rgb="FFF5D767"/>
      <color rgb="FFDDEBF7"/>
      <color rgb="FF00B0F0"/>
      <color rgb="FF0070C0"/>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103C8A"/>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rgb="FF073673"/>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bgColor theme="7"/>
            </patternFill>
          </fill>
        </dxf>
        <dxf>
          <font>
            <color theme="0"/>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1"/>
            <x14:slicerStyleElement type="selectedItemWithData" dxfId="30"/>
          </x14:slicerStyleElements>
        </x14:slicerStyle>
        <x14:slicerStyle name="SlicerStyleLight1 2">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UnselectedItemWithData" dxfId="25"/>
            <x14:slicerStyleElement type="hoveredSelectedItemWithData" dxfId="24"/>
            <x14:slicerStyleElement type="hoveredUnselectedItemWithNoData" dxfId="23"/>
            <x14:slicerStyleElement type="hoveredSelectedItemWithNoData" dxfId="22"/>
          </x14:slicerStyleElements>
        </x14:slicerStyle>
        <x14:slicerStyle name="SlicerStyleLight1 3">
          <x14:slicerStyleElements>
            <x14:slicerStyleElement type="unselectedItemWithData" dxfId="21"/>
            <x14:slicerStyleElement type="unselectedItemWithNoData" dxfId="20"/>
            <x14:slicerStyleElement type="selectedItemWithData"/>
            <x14:slicerStyleElement type="selectedItemWithNoData"/>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DATA!$M$68</c:f>
              <c:strCache>
                <c:ptCount val="1"/>
                <c:pt idx="0">
                  <c:v>Sum of Passengers</c:v>
                </c:pt>
              </c:strCache>
            </c:strRef>
          </c:tx>
          <c:spPr>
            <a:ln w="28575" cap="rnd">
              <a:solidFill>
                <a:srgbClr val="103C8A"/>
              </a:solidFill>
              <a:round/>
            </a:ln>
            <a:effectLst/>
          </c:spPr>
          <c:marker>
            <c:symbol val="circle"/>
            <c:size val="5"/>
            <c:spPr>
              <a:solidFill>
                <a:schemeClr val="bg1"/>
              </a:solidFill>
              <a:ln w="9525">
                <a:solidFill>
                  <a:srgbClr val="103C8A"/>
                </a:solidFill>
              </a:ln>
              <a:effectLst/>
            </c:spPr>
          </c:marker>
          <c:cat>
            <c:multiLvlStrRef>
              <c:f>DATA!$K$98:$L$109</c:f>
              <c:multiLvlStrCache>
                <c:ptCount val="12"/>
                <c:lvl>
                  <c:pt idx="0">
                    <c:v>1</c:v>
                  </c:pt>
                  <c:pt idx="1">
                    <c:v>2</c:v>
                  </c:pt>
                  <c:pt idx="2">
                    <c:v>3</c:v>
                  </c:pt>
                  <c:pt idx="3">
                    <c:v>4</c:v>
                  </c:pt>
                  <c:pt idx="4">
                    <c:v>5</c:v>
                  </c:pt>
                  <c:pt idx="5">
                    <c:v>6</c:v>
                  </c:pt>
                  <c:pt idx="6">
                    <c:v>7</c:v>
                  </c:pt>
                  <c:pt idx="7">
                    <c:v>8</c:v>
                  </c:pt>
                  <c:pt idx="8">
                    <c:v>9</c:v>
                  </c:pt>
                  <c:pt idx="9">
                    <c:v>10</c:v>
                  </c:pt>
                  <c:pt idx="10">
                    <c:v>11</c:v>
                  </c:pt>
                  <c:pt idx="11">
                    <c:v>12</c:v>
                  </c:pt>
                </c:lvl>
                <c:lvl>
                  <c:pt idx="0">
                    <c:v>2024</c:v>
                  </c:pt>
                </c:lvl>
              </c:multiLvlStrCache>
            </c:multiLvlStrRef>
          </c:cat>
          <c:val>
            <c:numRef>
              <c:f>DATA!$M$98:$M$109</c:f>
              <c:numCache>
                <c:formatCode>_(* #,##0_);_(* \(#,##0\);_(* "-"??_);_(@_)</c:formatCode>
                <c:ptCount val="12"/>
                <c:pt idx="0">
                  <c:v>12200000</c:v>
                </c:pt>
                <c:pt idx="1">
                  <c:v>11100000</c:v>
                </c:pt>
                <c:pt idx="2">
                  <c:v>13600000</c:v>
                </c:pt>
                <c:pt idx="3">
                  <c:v>17300000</c:v>
                </c:pt>
                <c:pt idx="4">
                  <c:v>18900000</c:v>
                </c:pt>
                <c:pt idx="5">
                  <c:v>19300000</c:v>
                </c:pt>
                <c:pt idx="6">
                  <c:v>20200000</c:v>
                </c:pt>
                <c:pt idx="7">
                  <c:v>20500000</c:v>
                </c:pt>
                <c:pt idx="8">
                  <c:v>19100000</c:v>
                </c:pt>
                <c:pt idx="9">
                  <c:v>18300000</c:v>
                </c:pt>
                <c:pt idx="10">
                  <c:v>13000000</c:v>
                </c:pt>
                <c:pt idx="11">
                  <c:v>13600000</c:v>
                </c:pt>
              </c:numCache>
            </c:numRef>
          </c:val>
          <c:smooth val="1"/>
          <c:extLst>
            <c:ext xmlns:c16="http://schemas.microsoft.com/office/drawing/2014/chart" uri="{C3380CC4-5D6E-409C-BE32-E72D297353CC}">
              <c16:uniqueId val="{00000000-707A-4BA4-8289-FBCCF4383831}"/>
            </c:ext>
          </c:extLst>
        </c:ser>
        <c:dLbls>
          <c:showLegendKey val="0"/>
          <c:showVal val="0"/>
          <c:showCatName val="0"/>
          <c:showSerName val="0"/>
          <c:showPercent val="0"/>
          <c:showBubbleSize val="0"/>
        </c:dLbls>
        <c:marker val="1"/>
        <c:smooth val="0"/>
        <c:axId val="590165263"/>
        <c:axId val="53262095"/>
      </c:lineChart>
      <c:catAx>
        <c:axId val="590165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62095"/>
        <c:crosses val="autoZero"/>
        <c:auto val="1"/>
        <c:lblAlgn val="ctr"/>
        <c:lblOffset val="100"/>
        <c:noMultiLvlLbl val="0"/>
      </c:catAx>
      <c:valAx>
        <c:axId val="5326209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16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DATA!$K$121</c:f>
              <c:strCache>
                <c:ptCount val="1"/>
                <c:pt idx="0">
                  <c:v>2021</c:v>
                </c:pt>
              </c:strCache>
            </c:strRef>
          </c:tx>
          <c:dPt>
            <c:idx val="0"/>
            <c:bubble3D val="0"/>
            <c:spPr>
              <a:solidFill>
                <a:srgbClr val="103C8A"/>
              </a:solidFill>
              <a:ln w="19050">
                <a:solidFill>
                  <a:schemeClr val="lt1"/>
                </a:solidFill>
              </a:ln>
              <a:effectLst/>
            </c:spPr>
            <c:extLst>
              <c:ext xmlns:c16="http://schemas.microsoft.com/office/drawing/2014/chart" uri="{C3380CC4-5D6E-409C-BE32-E72D297353CC}">
                <c16:uniqueId val="{00000001-5601-4087-9BA5-B8C46FE297FC}"/>
              </c:ext>
            </c:extLst>
          </c:dPt>
          <c:dPt>
            <c:idx val="1"/>
            <c:bubble3D val="0"/>
            <c:spPr>
              <a:noFill/>
              <a:ln w="19050">
                <a:solidFill>
                  <a:schemeClr val="lt1"/>
                </a:solidFill>
              </a:ln>
              <a:effectLst/>
            </c:spPr>
            <c:extLst>
              <c:ext xmlns:c16="http://schemas.microsoft.com/office/drawing/2014/chart" uri="{C3380CC4-5D6E-409C-BE32-E72D297353CC}">
                <c16:uniqueId val="{00000003-5601-4087-9BA5-B8C46FE297FC}"/>
              </c:ext>
            </c:extLst>
          </c:dPt>
          <c:cat>
            <c:strRef>
              <c:f>DATA!$L$120:$M$120</c:f>
              <c:strCache>
                <c:ptCount val="2"/>
                <c:pt idx="0">
                  <c:v>Average of Customer Satisfaction</c:v>
                </c:pt>
                <c:pt idx="1">
                  <c:v>Helper</c:v>
                </c:pt>
              </c:strCache>
            </c:strRef>
          </c:cat>
          <c:val>
            <c:numRef>
              <c:f>DATA!$L$121:$M$121</c:f>
              <c:numCache>
                <c:formatCode>General</c:formatCode>
                <c:ptCount val="2"/>
                <c:pt idx="0" formatCode="0%">
                  <c:v>0.89</c:v>
                </c:pt>
                <c:pt idx="1">
                  <c:v>0.10999999999999999</c:v>
                </c:pt>
              </c:numCache>
            </c:numRef>
          </c:val>
          <c:extLst>
            <c:ext xmlns:c16="http://schemas.microsoft.com/office/drawing/2014/chart" uri="{C3380CC4-5D6E-409C-BE32-E72D297353CC}">
              <c16:uniqueId val="{00000004-5601-4087-9BA5-B8C46FE297FC}"/>
            </c:ext>
          </c:extLst>
        </c:ser>
        <c:ser>
          <c:idx val="1"/>
          <c:order val="1"/>
          <c:tx>
            <c:strRef>
              <c:f>DATA!$K$122</c:f>
              <c:strCache>
                <c:ptCount val="1"/>
                <c:pt idx="0">
                  <c:v>2022</c:v>
                </c:pt>
              </c:strCache>
            </c:strRef>
          </c:tx>
          <c:dPt>
            <c:idx val="0"/>
            <c:bubble3D val="0"/>
            <c:spPr>
              <a:solidFill>
                <a:srgbClr val="103C8A"/>
              </a:solidFill>
              <a:ln w="19050">
                <a:solidFill>
                  <a:schemeClr val="lt1"/>
                </a:solidFill>
              </a:ln>
              <a:effectLst/>
            </c:spPr>
            <c:extLst>
              <c:ext xmlns:c16="http://schemas.microsoft.com/office/drawing/2014/chart" uri="{C3380CC4-5D6E-409C-BE32-E72D297353CC}">
                <c16:uniqueId val="{00000006-5601-4087-9BA5-B8C46FE297FC}"/>
              </c:ext>
            </c:extLst>
          </c:dPt>
          <c:dPt>
            <c:idx val="1"/>
            <c:bubble3D val="0"/>
            <c:spPr>
              <a:noFill/>
              <a:ln w="19050">
                <a:solidFill>
                  <a:schemeClr val="lt1"/>
                </a:solidFill>
              </a:ln>
              <a:effectLst/>
            </c:spPr>
            <c:extLst>
              <c:ext xmlns:c16="http://schemas.microsoft.com/office/drawing/2014/chart" uri="{C3380CC4-5D6E-409C-BE32-E72D297353CC}">
                <c16:uniqueId val="{00000008-5601-4087-9BA5-B8C46FE297FC}"/>
              </c:ext>
            </c:extLst>
          </c:dPt>
          <c:cat>
            <c:strRef>
              <c:f>DATA!$L$120:$M$120</c:f>
              <c:strCache>
                <c:ptCount val="2"/>
                <c:pt idx="0">
                  <c:v>Average of Customer Satisfaction</c:v>
                </c:pt>
                <c:pt idx="1">
                  <c:v>Helper</c:v>
                </c:pt>
              </c:strCache>
            </c:strRef>
          </c:cat>
          <c:val>
            <c:numRef>
              <c:f>DATA!$L$122:$M$122</c:f>
              <c:numCache>
                <c:formatCode>General</c:formatCode>
                <c:ptCount val="2"/>
                <c:pt idx="0" formatCode="0%">
                  <c:v>0.85416666666666663</c:v>
                </c:pt>
                <c:pt idx="1">
                  <c:v>0.14583333333333337</c:v>
                </c:pt>
              </c:numCache>
            </c:numRef>
          </c:val>
          <c:extLst>
            <c:ext xmlns:c16="http://schemas.microsoft.com/office/drawing/2014/chart" uri="{C3380CC4-5D6E-409C-BE32-E72D297353CC}">
              <c16:uniqueId val="{00000009-5601-4087-9BA5-B8C46FE297FC}"/>
            </c:ext>
          </c:extLst>
        </c:ser>
        <c:ser>
          <c:idx val="2"/>
          <c:order val="2"/>
          <c:tx>
            <c:strRef>
              <c:f>DATA!$K$123</c:f>
              <c:strCache>
                <c:ptCount val="1"/>
                <c:pt idx="0">
                  <c:v>2023</c:v>
                </c:pt>
              </c:strCache>
            </c:strRef>
          </c:tx>
          <c:dPt>
            <c:idx val="0"/>
            <c:bubble3D val="0"/>
            <c:spPr>
              <a:solidFill>
                <a:srgbClr val="103C8A"/>
              </a:solidFill>
              <a:ln w="19050">
                <a:solidFill>
                  <a:schemeClr val="lt1"/>
                </a:solidFill>
              </a:ln>
              <a:effectLst/>
            </c:spPr>
            <c:extLst>
              <c:ext xmlns:c16="http://schemas.microsoft.com/office/drawing/2014/chart" uri="{C3380CC4-5D6E-409C-BE32-E72D297353CC}">
                <c16:uniqueId val="{0000000B-5601-4087-9BA5-B8C46FE297FC}"/>
              </c:ext>
            </c:extLst>
          </c:dPt>
          <c:dPt>
            <c:idx val="1"/>
            <c:bubble3D val="0"/>
            <c:spPr>
              <a:noFill/>
              <a:ln w="19050">
                <a:solidFill>
                  <a:schemeClr val="lt1"/>
                </a:solidFill>
              </a:ln>
              <a:effectLst/>
            </c:spPr>
            <c:extLst>
              <c:ext xmlns:c16="http://schemas.microsoft.com/office/drawing/2014/chart" uri="{C3380CC4-5D6E-409C-BE32-E72D297353CC}">
                <c16:uniqueId val="{0000000D-5601-4087-9BA5-B8C46FE297FC}"/>
              </c:ext>
            </c:extLst>
          </c:dPt>
          <c:cat>
            <c:strRef>
              <c:f>DATA!$L$120:$M$120</c:f>
              <c:strCache>
                <c:ptCount val="2"/>
                <c:pt idx="0">
                  <c:v>Average of Customer Satisfaction</c:v>
                </c:pt>
                <c:pt idx="1">
                  <c:v>Helper</c:v>
                </c:pt>
              </c:strCache>
            </c:strRef>
          </c:cat>
          <c:val>
            <c:numRef>
              <c:f>DATA!$L$123:$M$123</c:f>
              <c:numCache>
                <c:formatCode>General</c:formatCode>
                <c:ptCount val="2"/>
                <c:pt idx="0" formatCode="0%">
                  <c:v>0.85916666666666686</c:v>
                </c:pt>
                <c:pt idx="1">
                  <c:v>0.14083333333333314</c:v>
                </c:pt>
              </c:numCache>
            </c:numRef>
          </c:val>
          <c:extLst>
            <c:ext xmlns:c16="http://schemas.microsoft.com/office/drawing/2014/chart" uri="{C3380CC4-5D6E-409C-BE32-E72D297353CC}">
              <c16:uniqueId val="{0000000E-5601-4087-9BA5-B8C46FE297FC}"/>
            </c:ext>
          </c:extLst>
        </c:ser>
        <c:ser>
          <c:idx val="3"/>
          <c:order val="3"/>
          <c:tx>
            <c:strRef>
              <c:f>DATA!$K$124</c:f>
              <c:strCache>
                <c:ptCount val="1"/>
                <c:pt idx="0">
                  <c:v>2024</c:v>
                </c:pt>
              </c:strCache>
            </c:strRef>
          </c:tx>
          <c:dPt>
            <c:idx val="0"/>
            <c:bubble3D val="0"/>
            <c:spPr>
              <a:solidFill>
                <a:srgbClr val="103C8A"/>
              </a:solidFill>
              <a:ln w="19050">
                <a:solidFill>
                  <a:schemeClr val="lt1"/>
                </a:solidFill>
              </a:ln>
              <a:effectLst/>
            </c:spPr>
            <c:extLst>
              <c:ext xmlns:c16="http://schemas.microsoft.com/office/drawing/2014/chart" uri="{C3380CC4-5D6E-409C-BE32-E72D297353CC}">
                <c16:uniqueId val="{00000010-5601-4087-9BA5-B8C46FE297FC}"/>
              </c:ext>
            </c:extLst>
          </c:dPt>
          <c:dPt>
            <c:idx val="1"/>
            <c:bubble3D val="0"/>
            <c:spPr>
              <a:noFill/>
              <a:ln w="19050">
                <a:solidFill>
                  <a:schemeClr val="lt1"/>
                </a:solidFill>
              </a:ln>
              <a:effectLst/>
            </c:spPr>
            <c:extLst>
              <c:ext xmlns:c16="http://schemas.microsoft.com/office/drawing/2014/chart" uri="{C3380CC4-5D6E-409C-BE32-E72D297353CC}">
                <c16:uniqueId val="{00000012-5601-4087-9BA5-B8C46FE297FC}"/>
              </c:ext>
            </c:extLst>
          </c:dPt>
          <c:cat>
            <c:strRef>
              <c:f>DATA!$L$120:$M$120</c:f>
              <c:strCache>
                <c:ptCount val="2"/>
                <c:pt idx="0">
                  <c:v>Average of Customer Satisfaction</c:v>
                </c:pt>
                <c:pt idx="1">
                  <c:v>Helper</c:v>
                </c:pt>
              </c:strCache>
            </c:strRef>
          </c:cat>
          <c:val>
            <c:numRef>
              <c:f>DATA!$L$124:$M$124</c:f>
              <c:numCache>
                <c:formatCode>General</c:formatCode>
                <c:ptCount val="2"/>
                <c:pt idx="0" formatCode="0%">
                  <c:v>0.86083333333333345</c:v>
                </c:pt>
                <c:pt idx="1">
                  <c:v>0.13916666666666655</c:v>
                </c:pt>
              </c:numCache>
            </c:numRef>
          </c:val>
          <c:extLst>
            <c:ext xmlns:c16="http://schemas.microsoft.com/office/drawing/2014/chart" uri="{C3380CC4-5D6E-409C-BE32-E72D297353CC}">
              <c16:uniqueId val="{00000013-5601-4087-9BA5-B8C46FE297FC}"/>
            </c:ext>
          </c:extLst>
        </c:ser>
        <c:ser>
          <c:idx val="4"/>
          <c:order val="4"/>
          <c:tx>
            <c:strRef>
              <c:f>DATA!$K$125</c:f>
              <c:strCache>
                <c:ptCount val="1"/>
                <c:pt idx="0">
                  <c:v>2025</c:v>
                </c:pt>
              </c:strCache>
            </c:strRef>
          </c:tx>
          <c:dPt>
            <c:idx val="0"/>
            <c:bubble3D val="0"/>
            <c:spPr>
              <a:solidFill>
                <a:srgbClr val="103C8A"/>
              </a:solidFill>
              <a:ln w="19050">
                <a:solidFill>
                  <a:schemeClr val="lt1"/>
                </a:solidFill>
              </a:ln>
              <a:effectLst/>
            </c:spPr>
            <c:extLst>
              <c:ext xmlns:c16="http://schemas.microsoft.com/office/drawing/2014/chart" uri="{C3380CC4-5D6E-409C-BE32-E72D297353CC}">
                <c16:uniqueId val="{00000015-5601-4087-9BA5-B8C46FE297FC}"/>
              </c:ext>
            </c:extLst>
          </c:dPt>
          <c:dPt>
            <c:idx val="1"/>
            <c:bubble3D val="0"/>
            <c:spPr>
              <a:noFill/>
              <a:ln w="19050">
                <a:solidFill>
                  <a:schemeClr val="lt1"/>
                </a:solidFill>
              </a:ln>
              <a:effectLst/>
            </c:spPr>
            <c:extLst>
              <c:ext xmlns:c16="http://schemas.microsoft.com/office/drawing/2014/chart" uri="{C3380CC4-5D6E-409C-BE32-E72D297353CC}">
                <c16:uniqueId val="{00000017-5601-4087-9BA5-B8C46FE297FC}"/>
              </c:ext>
            </c:extLst>
          </c:dPt>
          <c:cat>
            <c:strRef>
              <c:f>DATA!$L$120:$M$120</c:f>
              <c:strCache>
                <c:ptCount val="2"/>
                <c:pt idx="0">
                  <c:v>Average of Customer Satisfaction</c:v>
                </c:pt>
                <c:pt idx="1">
                  <c:v>Helper</c:v>
                </c:pt>
              </c:strCache>
            </c:strRef>
          </c:cat>
          <c:val>
            <c:numRef>
              <c:f>DATA!$L$125:$M$125</c:f>
              <c:numCache>
                <c:formatCode>General</c:formatCode>
                <c:ptCount val="2"/>
                <c:pt idx="0" formatCode="0%">
                  <c:v>0.89249999999999996</c:v>
                </c:pt>
                <c:pt idx="1">
                  <c:v>0.10750000000000004</c:v>
                </c:pt>
              </c:numCache>
            </c:numRef>
          </c:val>
          <c:extLst>
            <c:ext xmlns:c16="http://schemas.microsoft.com/office/drawing/2014/chart" uri="{C3380CC4-5D6E-409C-BE32-E72D297353CC}">
              <c16:uniqueId val="{00000018-5601-4087-9BA5-B8C46FE297FC}"/>
            </c:ext>
          </c:extLst>
        </c:ser>
        <c:dLbls>
          <c:showLegendKey val="0"/>
          <c:showVal val="0"/>
          <c:showCatName val="0"/>
          <c:showSerName val="0"/>
          <c:showPercent val="0"/>
          <c:showBubbleSize val="0"/>
          <c:showLeaderLines val="1"/>
        </c:dLbls>
        <c:firstSliceAng val="0"/>
        <c:holeSize val="33"/>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'Customer Satisfaction Tracker'!$B$22</c:f>
              <c:strCache>
                <c:ptCount val="1"/>
                <c:pt idx="0">
                  <c:v>% Completed</c:v>
                </c:pt>
              </c:strCache>
            </c:strRef>
          </c:tx>
          <c:spPr>
            <a:ln w="28575" cap="rnd">
              <a:solidFill>
                <a:srgbClr val="F1C933"/>
              </a:solidFill>
              <a:round/>
            </a:ln>
            <a:effectLst/>
          </c:spPr>
          <c:marker>
            <c:symbol val="circle"/>
            <c:size val="6"/>
            <c:spPr>
              <a:solidFill>
                <a:srgbClr val="F1C933"/>
              </a:solidFill>
              <a:ln w="9525">
                <a:solidFill>
                  <a:srgbClr val="F1C933"/>
                </a:solidFill>
              </a:ln>
              <a:effectLst/>
            </c:spPr>
          </c:marker>
          <c:val>
            <c:numRef>
              <c:f>'Customer Satisfaction Tracker'!$C$22:$W$22</c:f>
              <c:numCache>
                <c:formatCode>0.0</c:formatCode>
                <c:ptCount val="21"/>
                <c:pt idx="0">
                  <c:v>1</c:v>
                </c:pt>
                <c:pt idx="1">
                  <c:v>1</c:v>
                </c:pt>
                <c:pt idx="2">
                  <c:v>0.83333333333333337</c:v>
                </c:pt>
                <c:pt idx="3">
                  <c:v>1</c:v>
                </c:pt>
                <c:pt idx="4">
                  <c:v>0.66666666666666663</c:v>
                </c:pt>
                <c:pt idx="5">
                  <c:v>0.66666666666666663</c:v>
                </c:pt>
                <c:pt idx="6">
                  <c:v>0.5</c:v>
                </c:pt>
                <c:pt idx="7">
                  <c:v>1</c:v>
                </c:pt>
                <c:pt idx="8">
                  <c:v>1</c:v>
                </c:pt>
                <c:pt idx="9">
                  <c:v>0.16666666666666666</c:v>
                </c:pt>
                <c:pt idx="10">
                  <c:v>0.83333333333333337</c:v>
                </c:pt>
                <c:pt idx="11">
                  <c:v>0.66666666666666663</c:v>
                </c:pt>
                <c:pt idx="12">
                  <c:v>0.83333333333333337</c:v>
                </c:pt>
                <c:pt idx="13">
                  <c:v>1</c:v>
                </c:pt>
                <c:pt idx="14">
                  <c:v>0</c:v>
                </c:pt>
                <c:pt idx="15">
                  <c:v>0.66666666666666663</c:v>
                </c:pt>
                <c:pt idx="16">
                  <c:v>0.5</c:v>
                </c:pt>
                <c:pt idx="17">
                  <c:v>1</c:v>
                </c:pt>
                <c:pt idx="18">
                  <c:v>0.66666666666666663</c:v>
                </c:pt>
                <c:pt idx="19">
                  <c:v>1</c:v>
                </c:pt>
                <c:pt idx="20">
                  <c:v>0.66666666666666663</c:v>
                </c:pt>
              </c:numCache>
            </c:numRef>
          </c:val>
          <c:smooth val="1"/>
          <c:extLst>
            <c:ext xmlns:c16="http://schemas.microsoft.com/office/drawing/2014/chart" uri="{C3380CC4-5D6E-409C-BE32-E72D297353CC}">
              <c16:uniqueId val="{00000000-FD7E-452E-9BE2-512346BCB2F3}"/>
            </c:ext>
          </c:extLst>
        </c:ser>
        <c:dLbls>
          <c:showLegendKey val="0"/>
          <c:showVal val="0"/>
          <c:showCatName val="0"/>
          <c:showSerName val="0"/>
          <c:showPercent val="0"/>
          <c:showBubbleSize val="0"/>
        </c:dLbls>
        <c:marker val="1"/>
        <c:smooth val="0"/>
        <c:axId val="1129729072"/>
        <c:axId val="1129734352"/>
      </c:lineChart>
      <c:catAx>
        <c:axId val="112972907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34352"/>
        <c:crosses val="autoZero"/>
        <c:auto val="1"/>
        <c:lblAlgn val="ctr"/>
        <c:lblOffset val="100"/>
        <c:noMultiLvlLbl val="0"/>
      </c:catAx>
      <c:valAx>
        <c:axId val="112973435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72907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190501</xdr:colOff>
      <xdr:row>23</xdr:row>
      <xdr:rowOff>168088</xdr:rowOff>
    </xdr:from>
    <xdr:to>
      <xdr:col>3</xdr:col>
      <xdr:colOff>571501</xdr:colOff>
      <xdr:row>35</xdr:row>
      <xdr:rowOff>65943</xdr:rowOff>
    </xdr:to>
    <xdr:sp macro="" textlink="">
      <xdr:nvSpPr>
        <xdr:cNvPr id="4" name="Rectangle 3">
          <a:extLst>
            <a:ext uri="{FF2B5EF4-FFF2-40B4-BE49-F238E27FC236}">
              <a16:creationId xmlns:a16="http://schemas.microsoft.com/office/drawing/2014/main" id="{D7873C5A-08EF-4E55-88FE-ADB490B5F67C}"/>
            </a:ext>
          </a:extLst>
        </xdr:cNvPr>
        <xdr:cNvSpPr/>
      </xdr:nvSpPr>
      <xdr:spPr>
        <a:xfrm>
          <a:off x="2732943" y="4381069"/>
          <a:ext cx="381000" cy="2095932"/>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288732</xdr:colOff>
      <xdr:row>0</xdr:row>
      <xdr:rowOff>57150</xdr:rowOff>
    </xdr:from>
    <xdr:to>
      <xdr:col>11</xdr:col>
      <xdr:colOff>0</xdr:colOff>
      <xdr:row>2</xdr:row>
      <xdr:rowOff>65218</xdr:rowOff>
    </xdr:to>
    <xdr:sp macro="" textlink="">
      <xdr:nvSpPr>
        <xdr:cNvPr id="2" name="TextBox 1">
          <a:extLst>
            <a:ext uri="{FF2B5EF4-FFF2-40B4-BE49-F238E27FC236}">
              <a16:creationId xmlns:a16="http://schemas.microsoft.com/office/drawing/2014/main" id="{675CDFE1-2D12-48E5-A7DA-F8956050B4C2}"/>
            </a:ext>
          </a:extLst>
        </xdr:cNvPr>
        <xdr:cNvSpPr txBox="1"/>
      </xdr:nvSpPr>
      <xdr:spPr>
        <a:xfrm>
          <a:off x="1756703" y="57150"/>
          <a:ext cx="7667444" cy="366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rgbClr val="103C8A"/>
              </a:solidFill>
            </a:rPr>
            <a:t>Facts &amp;</a:t>
          </a:r>
          <a:r>
            <a:rPr lang="en-US" sz="2000" b="1" baseline="0">
              <a:solidFill>
                <a:srgbClr val="103C8A"/>
              </a:solidFill>
            </a:rPr>
            <a:t> Figures</a:t>
          </a:r>
          <a:endParaRPr lang="en-US" sz="2000" b="1">
            <a:solidFill>
              <a:srgbClr val="103C8A"/>
            </a:solidFill>
          </a:endParaRPr>
        </a:p>
      </xdr:txBody>
    </xdr:sp>
    <xdr:clientData/>
  </xdr:twoCellAnchor>
  <xdr:twoCellAnchor>
    <xdr:from>
      <xdr:col>2</xdr:col>
      <xdr:colOff>16235</xdr:colOff>
      <xdr:row>2</xdr:row>
      <xdr:rowOff>121258</xdr:rowOff>
    </xdr:from>
    <xdr:to>
      <xdr:col>3</xdr:col>
      <xdr:colOff>946869</xdr:colOff>
      <xdr:row>6</xdr:row>
      <xdr:rowOff>174598</xdr:rowOff>
    </xdr:to>
    <xdr:sp macro="" textlink="">
      <xdr:nvSpPr>
        <xdr:cNvPr id="17" name="Rectangle 16">
          <a:extLst>
            <a:ext uri="{FF2B5EF4-FFF2-40B4-BE49-F238E27FC236}">
              <a16:creationId xmlns:a16="http://schemas.microsoft.com/office/drawing/2014/main" id="{4C26B596-E98C-4BFD-8C88-91FDA8EF12B0}"/>
            </a:ext>
          </a:extLst>
        </xdr:cNvPr>
        <xdr:cNvSpPr/>
      </xdr:nvSpPr>
      <xdr:spPr>
        <a:xfrm>
          <a:off x="1792026" y="492319"/>
          <a:ext cx="1699260" cy="795462"/>
        </a:xfrm>
        <a:prstGeom prst="rect">
          <a:avLst/>
        </a:prstGeom>
        <a:solidFill>
          <a:srgbClr val="F1C933"/>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lt-LT" sz="1100" b="1"/>
            <a:t>Total Pas</a:t>
          </a:r>
          <a:r>
            <a:rPr lang="en-US" sz="1100" b="1"/>
            <a:t>s</a:t>
          </a:r>
          <a:r>
            <a:rPr lang="lt-LT" sz="1100" b="1"/>
            <a:t>engers</a:t>
          </a:r>
          <a:endParaRPr lang="en-US" sz="1100" b="1"/>
        </a:p>
      </xdr:txBody>
    </xdr:sp>
    <xdr:clientData/>
  </xdr:twoCellAnchor>
  <xdr:twoCellAnchor>
    <xdr:from>
      <xdr:col>4</xdr:col>
      <xdr:colOff>175105</xdr:colOff>
      <xdr:row>2</xdr:row>
      <xdr:rowOff>121257</xdr:rowOff>
    </xdr:from>
    <xdr:to>
      <xdr:col>5</xdr:col>
      <xdr:colOff>832159</xdr:colOff>
      <xdr:row>6</xdr:row>
      <xdr:rowOff>174597</xdr:rowOff>
    </xdr:to>
    <xdr:sp macro="" textlink="">
      <xdr:nvSpPr>
        <xdr:cNvPr id="18" name="Rectangle 17">
          <a:extLst>
            <a:ext uri="{FF2B5EF4-FFF2-40B4-BE49-F238E27FC236}">
              <a16:creationId xmlns:a16="http://schemas.microsoft.com/office/drawing/2014/main" id="{393FFD7F-D3D4-4B18-8A75-CCDAACBDA198}"/>
            </a:ext>
          </a:extLst>
        </xdr:cNvPr>
        <xdr:cNvSpPr/>
      </xdr:nvSpPr>
      <xdr:spPr>
        <a:xfrm>
          <a:off x="3823740" y="479845"/>
          <a:ext cx="1705925" cy="770517"/>
        </a:xfrm>
        <a:prstGeom prst="rect">
          <a:avLst/>
        </a:prstGeom>
        <a:solidFill>
          <a:srgbClr val="F1C933"/>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lt-LT" sz="1100" b="1"/>
            <a:t>Average</a:t>
          </a:r>
          <a:r>
            <a:rPr lang="lt-LT" sz="1100" b="1" baseline="0"/>
            <a:t> Load Factor</a:t>
          </a:r>
          <a:endParaRPr lang="en-US" sz="1100" b="1"/>
        </a:p>
      </xdr:txBody>
    </xdr:sp>
    <xdr:clientData/>
  </xdr:twoCellAnchor>
  <xdr:twoCellAnchor>
    <xdr:from>
      <xdr:col>7</xdr:col>
      <xdr:colOff>6509</xdr:colOff>
      <xdr:row>2</xdr:row>
      <xdr:rowOff>109827</xdr:rowOff>
    </xdr:from>
    <xdr:to>
      <xdr:col>8</xdr:col>
      <xdr:colOff>894063</xdr:colOff>
      <xdr:row>6</xdr:row>
      <xdr:rowOff>166977</xdr:rowOff>
    </xdr:to>
    <xdr:sp macro="" textlink="">
      <xdr:nvSpPr>
        <xdr:cNvPr id="19" name="Rectangle 18">
          <a:extLst>
            <a:ext uri="{FF2B5EF4-FFF2-40B4-BE49-F238E27FC236}">
              <a16:creationId xmlns:a16="http://schemas.microsoft.com/office/drawing/2014/main" id="{2E6866DB-109A-4148-85B5-EE9EBC2097DD}"/>
            </a:ext>
          </a:extLst>
        </xdr:cNvPr>
        <xdr:cNvSpPr/>
      </xdr:nvSpPr>
      <xdr:spPr>
        <a:xfrm>
          <a:off x="5799950" y="468415"/>
          <a:ext cx="1683172" cy="774327"/>
        </a:xfrm>
        <a:prstGeom prst="rect">
          <a:avLst/>
        </a:prstGeom>
        <a:solidFill>
          <a:srgbClr val="F1C933"/>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lt-LT" sz="1100" b="1"/>
            <a:t>Average On</a:t>
          </a:r>
          <a:r>
            <a:rPr lang="lt-LT" sz="1100" b="1" baseline="0"/>
            <a:t> Time</a:t>
          </a:r>
          <a:endParaRPr lang="en-US" sz="1100" b="1"/>
        </a:p>
      </xdr:txBody>
    </xdr:sp>
    <xdr:clientData/>
  </xdr:twoCellAnchor>
  <xdr:twoCellAnchor>
    <xdr:from>
      <xdr:col>9</xdr:col>
      <xdr:colOff>32779</xdr:colOff>
      <xdr:row>2</xdr:row>
      <xdr:rowOff>128570</xdr:rowOff>
    </xdr:from>
    <xdr:to>
      <xdr:col>10</xdr:col>
      <xdr:colOff>606744</xdr:colOff>
      <xdr:row>7</xdr:row>
      <xdr:rowOff>2616</xdr:rowOff>
    </xdr:to>
    <xdr:sp macro="" textlink="">
      <xdr:nvSpPr>
        <xdr:cNvPr id="20" name="Rectangle 19">
          <a:extLst>
            <a:ext uri="{FF2B5EF4-FFF2-40B4-BE49-F238E27FC236}">
              <a16:creationId xmlns:a16="http://schemas.microsoft.com/office/drawing/2014/main" id="{28ACF066-92BA-41B8-9C30-C744E3160807}"/>
            </a:ext>
          </a:extLst>
        </xdr:cNvPr>
        <xdr:cNvSpPr/>
      </xdr:nvSpPr>
      <xdr:spPr>
        <a:xfrm>
          <a:off x="7731220" y="487158"/>
          <a:ext cx="1683348" cy="770517"/>
        </a:xfrm>
        <a:prstGeom prst="rect">
          <a:avLst/>
        </a:prstGeom>
        <a:solidFill>
          <a:srgbClr val="F1C933"/>
        </a:solidFill>
        <a:ln>
          <a:solidFill>
            <a:schemeClr val="accent1">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lt-LT" sz="1050" b="1"/>
            <a:t>Avg</a:t>
          </a:r>
          <a:r>
            <a:rPr lang="en-US" sz="1050" b="1"/>
            <a:t>.</a:t>
          </a:r>
          <a:r>
            <a:rPr lang="lt-LT" sz="1050" b="1" baseline="0"/>
            <a:t> Customer Satisfaction</a:t>
          </a:r>
          <a:endParaRPr lang="en-US" sz="1050" b="1"/>
        </a:p>
      </xdr:txBody>
    </xdr:sp>
    <xdr:clientData/>
  </xdr:twoCellAnchor>
  <xdr:twoCellAnchor>
    <xdr:from>
      <xdr:col>2</xdr:col>
      <xdr:colOff>220981</xdr:colOff>
      <xdr:row>3</xdr:row>
      <xdr:rowOff>148757</xdr:rowOff>
    </xdr:from>
    <xdr:to>
      <xdr:col>3</xdr:col>
      <xdr:colOff>823955</xdr:colOff>
      <xdr:row>6</xdr:row>
      <xdr:rowOff>133516</xdr:rowOff>
    </xdr:to>
    <xdr:sp macro="" textlink="DATA!$L$3">
      <xdr:nvSpPr>
        <xdr:cNvPr id="21" name="TextBox 20">
          <a:extLst>
            <a:ext uri="{FF2B5EF4-FFF2-40B4-BE49-F238E27FC236}">
              <a16:creationId xmlns:a16="http://schemas.microsoft.com/office/drawing/2014/main" id="{06989629-4F53-4EFD-9A6C-31C1E3069A50}"/>
            </a:ext>
          </a:extLst>
        </xdr:cNvPr>
        <xdr:cNvSpPr txBox="1"/>
      </xdr:nvSpPr>
      <xdr:spPr>
        <a:xfrm>
          <a:off x="1996772" y="705348"/>
          <a:ext cx="1371600" cy="541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65EB0E-3ABC-4993-94FC-FB88A60C15CA}" type="TxLink">
            <a:rPr lang="en-US" sz="1600" b="1" i="0" u="none" strike="noStrike">
              <a:solidFill>
                <a:schemeClr val="bg1"/>
              </a:solidFill>
              <a:latin typeface="Calibri"/>
              <a:ea typeface="Calibri"/>
              <a:cs typeface="Calibri"/>
            </a:rPr>
            <a:pPr algn="ctr"/>
            <a:t> 52,700,000 </a:t>
          </a:fld>
          <a:endParaRPr lang="en-US" sz="5400" b="1">
            <a:solidFill>
              <a:schemeClr val="bg1"/>
            </a:solidFill>
          </a:endParaRPr>
        </a:p>
      </xdr:txBody>
    </xdr:sp>
    <xdr:clientData/>
  </xdr:twoCellAnchor>
  <xdr:twoCellAnchor>
    <xdr:from>
      <xdr:col>4</xdr:col>
      <xdr:colOff>346467</xdr:colOff>
      <xdr:row>3</xdr:row>
      <xdr:rowOff>121258</xdr:rowOff>
    </xdr:from>
    <xdr:to>
      <xdr:col>5</xdr:col>
      <xdr:colOff>664519</xdr:colOff>
      <xdr:row>6</xdr:row>
      <xdr:rowOff>106017</xdr:rowOff>
    </xdr:to>
    <xdr:sp macro="" textlink="DATA!$L$9">
      <xdr:nvSpPr>
        <xdr:cNvPr id="22" name="TextBox 21">
          <a:extLst>
            <a:ext uri="{FF2B5EF4-FFF2-40B4-BE49-F238E27FC236}">
              <a16:creationId xmlns:a16="http://schemas.microsoft.com/office/drawing/2014/main" id="{41AD9CBA-83E5-426A-9343-98E0486034BE}"/>
            </a:ext>
          </a:extLst>
        </xdr:cNvPr>
        <xdr:cNvSpPr txBox="1"/>
      </xdr:nvSpPr>
      <xdr:spPr>
        <a:xfrm>
          <a:off x="3995102" y="659140"/>
          <a:ext cx="1366923" cy="522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52E8809-FBBA-4617-AC50-15CB3CA2F05F}" type="TxLink">
            <a:rPr lang="en-US" sz="1800" b="1" i="0" u="none" strike="noStrike">
              <a:solidFill>
                <a:schemeClr val="bg1"/>
              </a:solidFill>
              <a:latin typeface="Calibri"/>
              <a:ea typeface="Calibri"/>
              <a:cs typeface="Calibri"/>
            </a:rPr>
            <a:pPr marL="0" indent="0" algn="ctr"/>
            <a:t>83%</a:t>
          </a:fld>
          <a:endParaRPr lang="en-US" sz="3200" b="1" i="0" u="none" strike="noStrike">
            <a:solidFill>
              <a:schemeClr val="bg1"/>
            </a:solidFill>
            <a:latin typeface="Calibri"/>
            <a:ea typeface="Calibri"/>
            <a:cs typeface="Calibri"/>
          </a:endParaRPr>
        </a:p>
      </xdr:txBody>
    </xdr:sp>
    <xdr:clientData/>
  </xdr:twoCellAnchor>
  <xdr:twoCellAnchor>
    <xdr:from>
      <xdr:col>7</xdr:col>
      <xdr:colOff>196348</xdr:colOff>
      <xdr:row>3</xdr:row>
      <xdr:rowOff>147928</xdr:rowOff>
    </xdr:from>
    <xdr:to>
      <xdr:col>8</xdr:col>
      <xdr:colOff>764534</xdr:colOff>
      <xdr:row>6</xdr:row>
      <xdr:rowOff>138402</xdr:rowOff>
    </xdr:to>
    <xdr:sp macro="" textlink="DATA!$L$16">
      <xdr:nvSpPr>
        <xdr:cNvPr id="23" name="TextBox 22">
          <a:extLst>
            <a:ext uri="{FF2B5EF4-FFF2-40B4-BE49-F238E27FC236}">
              <a16:creationId xmlns:a16="http://schemas.microsoft.com/office/drawing/2014/main" id="{D9585005-C2AB-4A7F-B0CF-5E7377AB1FA9}"/>
            </a:ext>
          </a:extLst>
        </xdr:cNvPr>
        <xdr:cNvSpPr txBox="1"/>
      </xdr:nvSpPr>
      <xdr:spPr>
        <a:xfrm>
          <a:off x="5989789" y="685810"/>
          <a:ext cx="1363804" cy="528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8024DB8-34AB-4058-A8A3-4A267EEE649A}" type="TxLink">
            <a:rPr lang="en-US" sz="1800" b="1" i="0" u="none" strike="noStrike">
              <a:solidFill>
                <a:schemeClr val="bg1"/>
              </a:solidFill>
              <a:latin typeface="Calibri"/>
              <a:ea typeface="Calibri"/>
              <a:cs typeface="Calibri"/>
            </a:rPr>
            <a:pPr marL="0" indent="0" algn="ctr"/>
            <a:t>90%</a:t>
          </a:fld>
          <a:endParaRPr lang="en-US" sz="3200" b="1" i="0" u="none" strike="noStrike">
            <a:solidFill>
              <a:schemeClr val="bg1"/>
            </a:solidFill>
            <a:latin typeface="Calibri"/>
            <a:ea typeface="Calibri"/>
            <a:cs typeface="Calibri"/>
          </a:endParaRPr>
        </a:p>
      </xdr:txBody>
    </xdr:sp>
    <xdr:clientData/>
  </xdr:twoCellAnchor>
  <xdr:twoCellAnchor>
    <xdr:from>
      <xdr:col>9</xdr:col>
      <xdr:colOff>253924</xdr:colOff>
      <xdr:row>4</xdr:row>
      <xdr:rowOff>1373</xdr:rowOff>
    </xdr:from>
    <xdr:to>
      <xdr:col>10</xdr:col>
      <xdr:colOff>508521</xdr:colOff>
      <xdr:row>6</xdr:row>
      <xdr:rowOff>154046</xdr:rowOff>
    </xdr:to>
    <xdr:sp macro="" textlink="DATA!$L$22">
      <xdr:nvSpPr>
        <xdr:cNvPr id="24" name="TextBox 23">
          <a:extLst>
            <a:ext uri="{FF2B5EF4-FFF2-40B4-BE49-F238E27FC236}">
              <a16:creationId xmlns:a16="http://schemas.microsoft.com/office/drawing/2014/main" id="{EA4E48C4-66DF-44D0-A48A-CC980C455F17}"/>
            </a:ext>
          </a:extLst>
        </xdr:cNvPr>
        <xdr:cNvSpPr txBox="1"/>
      </xdr:nvSpPr>
      <xdr:spPr>
        <a:xfrm>
          <a:off x="7952365" y="718549"/>
          <a:ext cx="1363980" cy="511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562AD4E-39D6-4511-BA67-62028E450DD5}" type="TxLink">
            <a:rPr lang="en-US" sz="1800" b="1" i="0" u="none" strike="noStrike">
              <a:solidFill>
                <a:schemeClr val="bg1"/>
              </a:solidFill>
              <a:latin typeface="Calibri"/>
              <a:ea typeface="Calibri"/>
              <a:cs typeface="Calibri"/>
            </a:rPr>
            <a:pPr marL="0" indent="0" algn="ctr"/>
            <a:t>89%</a:t>
          </a:fld>
          <a:endParaRPr lang="en-US" sz="3200" b="1" i="0" u="none" strike="noStrike">
            <a:solidFill>
              <a:schemeClr val="bg1"/>
            </a:solidFill>
            <a:latin typeface="Calibri"/>
            <a:ea typeface="Calibri"/>
            <a:cs typeface="Calibri"/>
          </a:endParaRPr>
        </a:p>
      </xdr:txBody>
    </xdr:sp>
    <xdr:clientData/>
  </xdr:twoCellAnchor>
  <xdr:twoCellAnchor editAs="oneCell">
    <xdr:from>
      <xdr:col>0</xdr:col>
      <xdr:colOff>486253</xdr:colOff>
      <xdr:row>1</xdr:row>
      <xdr:rowOff>115703</xdr:rowOff>
    </xdr:from>
    <xdr:to>
      <xdr:col>0</xdr:col>
      <xdr:colOff>1009966</xdr:colOff>
      <xdr:row>4</xdr:row>
      <xdr:rowOff>91854</xdr:rowOff>
    </xdr:to>
    <xdr:pic>
      <xdr:nvPicPr>
        <xdr:cNvPr id="5" name="Picture 4" descr="Ryanair logo in transparent PNG and vectorized SVG formats">
          <a:extLst>
            <a:ext uri="{FF2B5EF4-FFF2-40B4-BE49-F238E27FC236}">
              <a16:creationId xmlns:a16="http://schemas.microsoft.com/office/drawing/2014/main" id="{D09425D0-16BC-6148-9857-41C55BFD61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253" y="301233"/>
          <a:ext cx="523713" cy="527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xdr:row>
      <xdr:rowOff>0</xdr:rowOff>
    </xdr:from>
    <xdr:to>
      <xdr:col>2</xdr:col>
      <xdr:colOff>304800</xdr:colOff>
      <xdr:row>11</xdr:row>
      <xdr:rowOff>133350</xdr:rowOff>
    </xdr:to>
    <xdr:sp macro="" textlink="">
      <xdr:nvSpPr>
        <xdr:cNvPr id="18436" name="AutoShape 4" descr="Ryanair Logo PNG Vector SVG, EPS, Ai formats (3.66 KB) Free Download">
          <a:extLst>
            <a:ext uri="{FF2B5EF4-FFF2-40B4-BE49-F238E27FC236}">
              <a16:creationId xmlns:a16="http://schemas.microsoft.com/office/drawing/2014/main" id="{B4111BC6-955B-4A34-845F-6FDDE018FEC9}"/>
            </a:ext>
          </a:extLst>
        </xdr:cNvPr>
        <xdr:cNvSpPr>
          <a:spLocks noChangeAspect="1" noChangeArrowheads="1"/>
        </xdr:cNvSpPr>
      </xdr:nvSpPr>
      <xdr:spPr bwMode="auto">
        <a:xfrm>
          <a:off x="1546860" y="182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55824</xdr:colOff>
      <xdr:row>7</xdr:row>
      <xdr:rowOff>174107</xdr:rowOff>
    </xdr:from>
    <xdr:to>
      <xdr:col>0</xdr:col>
      <xdr:colOff>1411357</xdr:colOff>
      <xdr:row>17</xdr:row>
      <xdr:rowOff>175484</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FB6AFB0D-D554-4FE6-8946-83FB6FAA9FA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9634" y="1437122"/>
              <a:ext cx="1351723" cy="1811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0</xdr:colOff>
      <xdr:row>11</xdr:row>
      <xdr:rowOff>0</xdr:rowOff>
    </xdr:from>
    <xdr:ext cx="304800" cy="307451"/>
    <xdr:sp macro="" textlink="">
      <xdr:nvSpPr>
        <xdr:cNvPr id="9" name="AutoShape 4" descr="Ryanair Logo PNG Vector SVG, EPS, Ai formats (3.66 KB) Free Download">
          <a:extLst>
            <a:ext uri="{FF2B5EF4-FFF2-40B4-BE49-F238E27FC236}">
              <a16:creationId xmlns:a16="http://schemas.microsoft.com/office/drawing/2014/main" id="{9088B78A-EE42-4541-9614-70C1D41A0344}"/>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307451"/>
    <xdr:sp macro="" textlink="">
      <xdr:nvSpPr>
        <xdr:cNvPr id="10" name="AutoShape 4" descr="Ryanair Logo PNG Vector SVG, EPS, Ai formats (3.66 KB) Free Download">
          <a:extLst>
            <a:ext uri="{FF2B5EF4-FFF2-40B4-BE49-F238E27FC236}">
              <a16:creationId xmlns:a16="http://schemas.microsoft.com/office/drawing/2014/main" id="{47AE9912-7361-426B-A337-95335C3BEA79}"/>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307451"/>
    <xdr:sp macro="" textlink="">
      <xdr:nvSpPr>
        <xdr:cNvPr id="11" name="AutoShape 4" descr="Ryanair Logo PNG Vector SVG, EPS, Ai formats (3.66 KB) Free Download">
          <a:extLst>
            <a:ext uri="{FF2B5EF4-FFF2-40B4-BE49-F238E27FC236}">
              <a16:creationId xmlns:a16="http://schemas.microsoft.com/office/drawing/2014/main" id="{661A4E48-99A2-4E18-9B36-20EE72C0F496}"/>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307451"/>
    <xdr:sp macro="" textlink="">
      <xdr:nvSpPr>
        <xdr:cNvPr id="13" name="AutoShape 4" descr="Ryanair Logo PNG Vector SVG, EPS, Ai formats (3.66 KB) Free Download">
          <a:extLst>
            <a:ext uri="{FF2B5EF4-FFF2-40B4-BE49-F238E27FC236}">
              <a16:creationId xmlns:a16="http://schemas.microsoft.com/office/drawing/2014/main" id="{7C63AFA4-9986-49EA-8B42-9FF2B20F61E7}"/>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307451"/>
    <xdr:sp macro="" textlink="">
      <xdr:nvSpPr>
        <xdr:cNvPr id="14" name="AutoShape 4" descr="Ryanair Logo PNG Vector SVG, EPS, Ai formats (3.66 KB) Free Download">
          <a:extLst>
            <a:ext uri="{FF2B5EF4-FFF2-40B4-BE49-F238E27FC236}">
              <a16:creationId xmlns:a16="http://schemas.microsoft.com/office/drawing/2014/main" id="{9A29AE76-C4F4-415B-A4EF-4AADB4342DE3}"/>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307451"/>
    <xdr:sp macro="" textlink="">
      <xdr:nvSpPr>
        <xdr:cNvPr id="15" name="AutoShape 4" descr="Ryanair Logo PNG Vector SVG, EPS, Ai formats (3.66 KB) Free Download">
          <a:extLst>
            <a:ext uri="{FF2B5EF4-FFF2-40B4-BE49-F238E27FC236}">
              <a16:creationId xmlns:a16="http://schemas.microsoft.com/office/drawing/2014/main" id="{09855545-E952-4D71-8DC5-E56C2EBCF7AC}"/>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307451"/>
    <xdr:sp macro="" textlink="">
      <xdr:nvSpPr>
        <xdr:cNvPr id="25" name="AutoShape 4" descr="Ryanair Logo PNG Vector SVG, EPS, Ai formats (3.66 KB) Free Download">
          <a:extLst>
            <a:ext uri="{FF2B5EF4-FFF2-40B4-BE49-F238E27FC236}">
              <a16:creationId xmlns:a16="http://schemas.microsoft.com/office/drawing/2014/main" id="{55C7F96E-E96F-44AC-9158-5E1A7BCA4DA6}"/>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307451"/>
    <xdr:sp macro="" textlink="">
      <xdr:nvSpPr>
        <xdr:cNvPr id="26" name="AutoShape 4" descr="Ryanair Logo PNG Vector SVG, EPS, Ai formats (3.66 KB) Free Download">
          <a:extLst>
            <a:ext uri="{FF2B5EF4-FFF2-40B4-BE49-F238E27FC236}">
              <a16:creationId xmlns:a16="http://schemas.microsoft.com/office/drawing/2014/main" id="{BE6D3AAC-4499-4097-98FA-A4BFF3D4AECE}"/>
            </a:ext>
          </a:extLst>
        </xdr:cNvPr>
        <xdr:cNvSpPr>
          <a:spLocks noChangeAspect="1" noChangeArrowheads="1"/>
        </xdr:cNvSpPr>
      </xdr:nvSpPr>
      <xdr:spPr bwMode="auto">
        <a:xfrm>
          <a:off x="1775791" y="1855304"/>
          <a:ext cx="304800" cy="30745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5</xdr:col>
      <xdr:colOff>239134</xdr:colOff>
      <xdr:row>24</xdr:row>
      <xdr:rowOff>13109</xdr:rowOff>
    </xdr:from>
    <xdr:to>
      <xdr:col>5</xdr:col>
      <xdr:colOff>620134</xdr:colOff>
      <xdr:row>35</xdr:row>
      <xdr:rowOff>51288</xdr:rowOff>
    </xdr:to>
    <xdr:sp macro="" textlink="">
      <xdr:nvSpPr>
        <xdr:cNvPr id="7" name="Rectangle 6">
          <a:extLst>
            <a:ext uri="{FF2B5EF4-FFF2-40B4-BE49-F238E27FC236}">
              <a16:creationId xmlns:a16="http://schemas.microsoft.com/office/drawing/2014/main" id="{EDF87E0A-DED4-4918-B2C7-B05842F6296A}"/>
            </a:ext>
          </a:extLst>
        </xdr:cNvPr>
        <xdr:cNvSpPr/>
      </xdr:nvSpPr>
      <xdr:spPr>
        <a:xfrm>
          <a:off x="4935692" y="4409263"/>
          <a:ext cx="381000" cy="2053083"/>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20732</xdr:colOff>
      <xdr:row>24</xdr:row>
      <xdr:rowOff>1</xdr:rowOff>
    </xdr:from>
    <xdr:to>
      <xdr:col>6</xdr:col>
      <xdr:colOff>1</xdr:colOff>
      <xdr:row>38</xdr:row>
      <xdr:rowOff>7328</xdr:rowOff>
    </xdr:to>
    <xdr:graphicFrame macro="">
      <xdr:nvGraphicFramePr>
        <xdr:cNvPr id="3" name="Chart 2">
          <a:extLst>
            <a:ext uri="{FF2B5EF4-FFF2-40B4-BE49-F238E27FC236}">
              <a16:creationId xmlns:a16="http://schemas.microsoft.com/office/drawing/2014/main" id="{8D368B19-3E84-4D78-9941-CA85054C1D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16564</xdr:colOff>
      <xdr:row>24</xdr:row>
      <xdr:rowOff>20377</xdr:rowOff>
    </xdr:from>
    <xdr:to>
      <xdr:col>11</xdr:col>
      <xdr:colOff>0</xdr:colOff>
      <xdr:row>38</xdr:row>
      <xdr:rowOff>24849</xdr:rowOff>
    </xdr:to>
    <xdr:graphicFrame macro="">
      <xdr:nvGraphicFramePr>
        <xdr:cNvPr id="12" name="Chart 11">
          <a:extLst>
            <a:ext uri="{FF2B5EF4-FFF2-40B4-BE49-F238E27FC236}">
              <a16:creationId xmlns:a16="http://schemas.microsoft.com/office/drawing/2014/main" id="{3DC2D4F1-80B3-46B0-81A0-203AF87C1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718457</xdr:colOff>
      <xdr:row>28</xdr:row>
      <xdr:rowOff>5443</xdr:rowOff>
    </xdr:from>
    <xdr:to>
      <xdr:col>9</xdr:col>
      <xdr:colOff>507546</xdr:colOff>
      <xdr:row>29</xdr:row>
      <xdr:rowOff>22045</xdr:rowOff>
    </xdr:to>
    <xdr:sp macro="" textlink="">
      <xdr:nvSpPr>
        <xdr:cNvPr id="27" name="TextBox 22">
          <a:extLst>
            <a:ext uri="{FF2B5EF4-FFF2-40B4-BE49-F238E27FC236}">
              <a16:creationId xmlns:a16="http://schemas.microsoft.com/office/drawing/2014/main" id="{BEC49A1A-A9E5-4520-0EA4-99206F25FB4A}"/>
            </a:ext>
          </a:extLst>
        </xdr:cNvPr>
        <xdr:cNvSpPr txBox="1"/>
      </xdr:nvSpPr>
      <xdr:spPr>
        <a:xfrm>
          <a:off x="7385957" y="5034643"/>
          <a:ext cx="904875" cy="196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r>
            <a:rPr lang="en-US" sz="800" b="0" i="0" u="none" strike="noStrike">
              <a:solidFill>
                <a:srgbClr val="000000"/>
              </a:solidFill>
              <a:latin typeface="Calibri"/>
              <a:ea typeface="Calibri"/>
              <a:cs typeface="Calibri"/>
            </a:rPr>
            <a:t>2021</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0.41087</cdr:x>
      <cdr:y>0.03961</cdr:y>
    </cdr:from>
    <cdr:to>
      <cdr:x>0.66077</cdr:x>
      <cdr:y>0.11599</cdr:y>
    </cdr:to>
    <cdr:sp macro="" textlink="">
      <cdr:nvSpPr>
        <cdr:cNvPr id="2" name="TextBox 22">
          <a:extLst xmlns:a="http://schemas.openxmlformats.org/drawingml/2006/main">
            <a:ext uri="{FF2B5EF4-FFF2-40B4-BE49-F238E27FC236}">
              <a16:creationId xmlns:a16="http://schemas.microsoft.com/office/drawing/2014/main" id="{A3F15A34-09E6-4E5A-9EBB-4818B99BB750}"/>
            </a:ext>
          </a:extLst>
        </cdr:cNvPr>
        <cdr:cNvSpPr txBox="1"/>
      </cdr:nvSpPr>
      <cdr:spPr>
        <a:xfrm xmlns:a="http://schemas.openxmlformats.org/drawingml/2006/main">
          <a:off x="1487715" y="99786"/>
          <a:ext cx="904875" cy="1924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US" sz="800" b="0" i="0" u="none" strike="noStrike">
              <a:solidFill>
                <a:srgbClr val="000000"/>
              </a:solidFill>
              <a:latin typeface="Calibri"/>
              <a:ea typeface="Calibri"/>
              <a:cs typeface="Calibri"/>
            </a:rPr>
            <a:t>2025</a:t>
          </a:r>
        </a:p>
      </cdr:txBody>
    </cdr:sp>
  </cdr:relSizeAnchor>
  <cdr:relSizeAnchor xmlns:cdr="http://schemas.openxmlformats.org/drawingml/2006/chartDrawing">
    <cdr:from>
      <cdr:x>0.40937</cdr:x>
      <cdr:y>0.10227</cdr:y>
    </cdr:from>
    <cdr:to>
      <cdr:x>0.65927</cdr:x>
      <cdr:y>0.17865</cdr:y>
    </cdr:to>
    <cdr:sp macro="" textlink="">
      <cdr:nvSpPr>
        <cdr:cNvPr id="3" name="TextBox 22">
          <a:extLst xmlns:a="http://schemas.openxmlformats.org/drawingml/2006/main">
            <a:ext uri="{FF2B5EF4-FFF2-40B4-BE49-F238E27FC236}">
              <a16:creationId xmlns:a16="http://schemas.microsoft.com/office/drawing/2014/main" id="{7094BEEE-04C6-B170-6F00-011D61B658B9}"/>
            </a:ext>
          </a:extLst>
        </cdr:cNvPr>
        <cdr:cNvSpPr txBox="1"/>
      </cdr:nvSpPr>
      <cdr:spPr>
        <a:xfrm xmlns:a="http://schemas.openxmlformats.org/drawingml/2006/main">
          <a:off x="1482271" y="257629"/>
          <a:ext cx="904875" cy="1924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US" sz="800" b="0" i="0" u="none" strike="noStrike">
              <a:solidFill>
                <a:srgbClr val="000000"/>
              </a:solidFill>
              <a:latin typeface="Calibri"/>
              <a:ea typeface="Calibri"/>
              <a:cs typeface="Calibri"/>
            </a:rPr>
            <a:t>2024</a:t>
          </a:r>
        </a:p>
      </cdr:txBody>
    </cdr:sp>
  </cdr:relSizeAnchor>
  <cdr:relSizeAnchor xmlns:cdr="http://schemas.openxmlformats.org/drawingml/2006/chartDrawing">
    <cdr:from>
      <cdr:x>0.40937</cdr:x>
      <cdr:y>0.16277</cdr:y>
    </cdr:from>
    <cdr:to>
      <cdr:x>0.65927</cdr:x>
      <cdr:y>0.23915</cdr:y>
    </cdr:to>
    <cdr:sp macro="" textlink="">
      <cdr:nvSpPr>
        <cdr:cNvPr id="4" name="TextBox 22">
          <a:extLst xmlns:a="http://schemas.openxmlformats.org/drawingml/2006/main">
            <a:ext uri="{FF2B5EF4-FFF2-40B4-BE49-F238E27FC236}">
              <a16:creationId xmlns:a16="http://schemas.microsoft.com/office/drawing/2014/main" id="{9B036181-1ACE-9D15-2FAA-4B87FFC5AF35}"/>
            </a:ext>
          </a:extLst>
        </cdr:cNvPr>
        <cdr:cNvSpPr txBox="1"/>
      </cdr:nvSpPr>
      <cdr:spPr>
        <a:xfrm xmlns:a="http://schemas.openxmlformats.org/drawingml/2006/main">
          <a:off x="1482272" y="410029"/>
          <a:ext cx="904875" cy="1924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US" sz="800" b="0" i="0" u="none" strike="noStrike">
              <a:solidFill>
                <a:srgbClr val="000000"/>
              </a:solidFill>
              <a:latin typeface="Calibri"/>
              <a:ea typeface="Calibri"/>
              <a:cs typeface="Calibri"/>
            </a:rPr>
            <a:t>2023</a:t>
          </a:r>
        </a:p>
      </cdr:txBody>
    </cdr:sp>
  </cdr:relSizeAnchor>
  <cdr:relSizeAnchor xmlns:cdr="http://schemas.openxmlformats.org/drawingml/2006/chartDrawing">
    <cdr:from>
      <cdr:x>0.40937</cdr:x>
      <cdr:y>0.21895</cdr:y>
    </cdr:from>
    <cdr:to>
      <cdr:x>0.65927</cdr:x>
      <cdr:y>0.29533</cdr:y>
    </cdr:to>
    <cdr:sp macro="" textlink="">
      <cdr:nvSpPr>
        <cdr:cNvPr id="5" name="TextBox 22">
          <a:extLst xmlns:a="http://schemas.openxmlformats.org/drawingml/2006/main">
            <a:ext uri="{FF2B5EF4-FFF2-40B4-BE49-F238E27FC236}">
              <a16:creationId xmlns:a16="http://schemas.microsoft.com/office/drawing/2014/main" id="{C6037311-1A31-1622-9BB7-B0824FBB185A}"/>
            </a:ext>
          </a:extLst>
        </cdr:cNvPr>
        <cdr:cNvSpPr txBox="1"/>
      </cdr:nvSpPr>
      <cdr:spPr>
        <a:xfrm xmlns:a="http://schemas.openxmlformats.org/drawingml/2006/main">
          <a:off x="1482272" y="551543"/>
          <a:ext cx="904875" cy="19240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indent="0"/>
          <a:r>
            <a:rPr lang="en-US" sz="800" b="0" i="0" u="none" strike="noStrike">
              <a:solidFill>
                <a:srgbClr val="000000"/>
              </a:solidFill>
              <a:latin typeface="Calibri"/>
              <a:ea typeface="Calibri"/>
              <a:cs typeface="Calibri"/>
            </a:rPr>
            <a:t>2022</a:t>
          </a:r>
        </a:p>
      </cdr:txBody>
    </cdr:sp>
  </cdr:relSizeAnchor>
  <cdr:relSizeAnchor xmlns:cdr="http://schemas.openxmlformats.org/drawingml/2006/chartDrawing">
    <cdr:from>
      <cdr:x>0.29507</cdr:x>
      <cdr:y>0.12478</cdr:y>
    </cdr:from>
    <cdr:to>
      <cdr:x>0.38977</cdr:x>
      <cdr:y>0.21628</cdr:y>
    </cdr:to>
    <cdr:sp macro="" textlink="DATA!$N$125">
      <cdr:nvSpPr>
        <cdr:cNvPr id="6" name="TextBox 10">
          <a:extLst xmlns:a="http://schemas.openxmlformats.org/drawingml/2006/main">
            <a:ext uri="{FF2B5EF4-FFF2-40B4-BE49-F238E27FC236}">
              <a16:creationId xmlns:a16="http://schemas.microsoft.com/office/drawing/2014/main" id="{85F07288-3F1F-44CB-833F-AE4780CEAF91}"/>
            </a:ext>
          </a:extLst>
        </cdr:cNvPr>
        <cdr:cNvSpPr txBox="1"/>
      </cdr:nvSpPr>
      <cdr:spPr>
        <a:xfrm xmlns:a="http://schemas.openxmlformats.org/drawingml/2006/main">
          <a:off x="1067821" y="321871"/>
          <a:ext cx="342705" cy="2360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0DD2CAE-BA84-438E-A5AB-EE241C5F9A21}" type="TxLink">
            <a:rPr lang="en-US" sz="600" b="0" i="0" u="none" strike="noStrike">
              <a:solidFill>
                <a:srgbClr val="000000"/>
              </a:solidFill>
              <a:latin typeface="Calibri"/>
              <a:ea typeface="Calibri"/>
              <a:cs typeface="Calibri"/>
            </a:rPr>
            <a:pPr/>
            <a:t>89%</a:t>
          </a:fld>
          <a:endParaRPr lang="en-US" sz="200"/>
        </a:p>
      </cdr:txBody>
    </cdr:sp>
  </cdr:relSizeAnchor>
  <cdr:relSizeAnchor xmlns:cdr="http://schemas.openxmlformats.org/drawingml/2006/chartDrawing">
    <cdr:from>
      <cdr:x>0.27769</cdr:x>
      <cdr:y>0.22136</cdr:y>
    </cdr:from>
    <cdr:to>
      <cdr:x>0.37239</cdr:x>
      <cdr:y>0.31287</cdr:y>
    </cdr:to>
    <cdr:sp macro="" textlink="DATA!$N$124">
      <cdr:nvSpPr>
        <cdr:cNvPr id="7" name="TextBox 10">
          <a:extLst xmlns:a="http://schemas.openxmlformats.org/drawingml/2006/main">
            <a:ext uri="{FF2B5EF4-FFF2-40B4-BE49-F238E27FC236}">
              <a16:creationId xmlns:a16="http://schemas.microsoft.com/office/drawing/2014/main" id="{68A90FBA-6EB1-7E13-5F1D-44FA8B04D3C6}"/>
            </a:ext>
          </a:extLst>
        </cdr:cNvPr>
        <cdr:cNvSpPr txBox="1"/>
      </cdr:nvSpPr>
      <cdr:spPr>
        <a:xfrm xmlns:a="http://schemas.openxmlformats.org/drawingml/2006/main">
          <a:off x="1004930" y="571006"/>
          <a:ext cx="342705" cy="2360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25BEFFFD-3D91-4FD4-A617-CF58F176F01B}" type="TxLink">
            <a:rPr lang="en-US" sz="600" b="0" i="0" u="none" strike="noStrike">
              <a:solidFill>
                <a:srgbClr val="000000"/>
              </a:solidFill>
              <a:latin typeface="Calibri"/>
              <a:ea typeface="Calibri"/>
              <a:cs typeface="Calibri"/>
            </a:rPr>
            <a:pPr/>
            <a:t>86%</a:t>
          </a:fld>
          <a:endParaRPr lang="en-US" sz="100"/>
        </a:p>
      </cdr:txBody>
    </cdr:sp>
  </cdr:relSizeAnchor>
  <cdr:relSizeAnchor xmlns:cdr="http://schemas.openxmlformats.org/drawingml/2006/chartDrawing">
    <cdr:from>
      <cdr:x>0.30462</cdr:x>
      <cdr:y>0.25365</cdr:y>
    </cdr:from>
    <cdr:to>
      <cdr:x>0.39932</cdr:x>
      <cdr:y>0.34516</cdr:y>
    </cdr:to>
    <cdr:sp macro="" textlink="DATA!$N$123">
      <cdr:nvSpPr>
        <cdr:cNvPr id="8" name="TextBox 10">
          <a:extLst xmlns:a="http://schemas.openxmlformats.org/drawingml/2006/main">
            <a:ext uri="{FF2B5EF4-FFF2-40B4-BE49-F238E27FC236}">
              <a16:creationId xmlns:a16="http://schemas.microsoft.com/office/drawing/2014/main" id="{11195DC1-10FA-879D-6B5F-8742186910D4}"/>
            </a:ext>
          </a:extLst>
        </cdr:cNvPr>
        <cdr:cNvSpPr txBox="1"/>
      </cdr:nvSpPr>
      <cdr:spPr>
        <a:xfrm xmlns:a="http://schemas.openxmlformats.org/drawingml/2006/main">
          <a:off x="1102381" y="654300"/>
          <a:ext cx="342704" cy="23603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D397B1D-CF72-4280-9B08-2A9BC5612ECC}" type="TxLink">
            <a:rPr lang="en-US" sz="600" b="0" i="0" u="none" strike="noStrike">
              <a:solidFill>
                <a:srgbClr val="000000"/>
              </a:solidFill>
              <a:latin typeface="Calibri"/>
              <a:ea typeface="Calibri"/>
              <a:cs typeface="Calibri"/>
            </a:rPr>
            <a:pPr/>
            <a:t>86%</a:t>
          </a:fld>
          <a:endParaRPr lang="en-US" sz="100"/>
        </a:p>
      </cdr:txBody>
    </cdr:sp>
  </cdr:relSizeAnchor>
  <cdr:relSizeAnchor xmlns:cdr="http://schemas.openxmlformats.org/drawingml/2006/chartDrawing">
    <cdr:from>
      <cdr:x>0.33435</cdr:x>
      <cdr:y>0.29807</cdr:y>
    </cdr:from>
    <cdr:to>
      <cdr:x>0.42905</cdr:x>
      <cdr:y>0.38957</cdr:y>
    </cdr:to>
    <cdr:sp macro="" textlink="DATA!$N$122">
      <cdr:nvSpPr>
        <cdr:cNvPr id="9" name="TextBox 10">
          <a:extLst xmlns:a="http://schemas.openxmlformats.org/drawingml/2006/main">
            <a:ext uri="{FF2B5EF4-FFF2-40B4-BE49-F238E27FC236}">
              <a16:creationId xmlns:a16="http://schemas.microsoft.com/office/drawing/2014/main" id="{6373F23E-E680-CAC9-A474-32FC2EB15394}"/>
            </a:ext>
          </a:extLst>
        </cdr:cNvPr>
        <cdr:cNvSpPr txBox="1"/>
      </cdr:nvSpPr>
      <cdr:spPr>
        <a:xfrm xmlns:a="http://schemas.openxmlformats.org/drawingml/2006/main">
          <a:off x="1209954" y="768862"/>
          <a:ext cx="342705" cy="23603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73F71E79-AC86-4F57-B203-1838B202C2EA}" type="TxLink">
            <a:rPr lang="en-US" sz="600" b="0" i="0" u="none" strike="noStrike">
              <a:solidFill>
                <a:srgbClr val="000000"/>
              </a:solidFill>
              <a:latin typeface="Calibri"/>
              <a:ea typeface="Calibri"/>
              <a:cs typeface="Calibri"/>
            </a:rPr>
            <a:pPr/>
            <a:t>85%</a:t>
          </a:fld>
          <a:endParaRPr lang="en-US" sz="100"/>
        </a:p>
      </cdr:txBody>
    </cdr:sp>
  </cdr:relSizeAnchor>
  <cdr:relSizeAnchor xmlns:cdr="http://schemas.openxmlformats.org/drawingml/2006/chartDrawing">
    <cdr:from>
      <cdr:x>0.39645</cdr:x>
      <cdr:y>0.31925</cdr:y>
    </cdr:from>
    <cdr:to>
      <cdr:x>0.49115</cdr:x>
      <cdr:y>0.41076</cdr:y>
    </cdr:to>
    <cdr:sp macro="" textlink="DATA!$N$121">
      <cdr:nvSpPr>
        <cdr:cNvPr id="10" name="TextBox 10">
          <a:extLst xmlns:a="http://schemas.openxmlformats.org/drawingml/2006/main">
            <a:ext uri="{FF2B5EF4-FFF2-40B4-BE49-F238E27FC236}">
              <a16:creationId xmlns:a16="http://schemas.microsoft.com/office/drawing/2014/main" id="{6B2387B9-96BB-1C01-EA5C-7F0C4ED4B574}"/>
            </a:ext>
          </a:extLst>
        </cdr:cNvPr>
        <cdr:cNvSpPr txBox="1"/>
      </cdr:nvSpPr>
      <cdr:spPr>
        <a:xfrm xmlns:a="http://schemas.openxmlformats.org/drawingml/2006/main">
          <a:off x="1435588" y="820127"/>
          <a:ext cx="342920" cy="2350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BA16FEC-C3B3-47CA-B2B0-6027C0CDDEFA}" type="TxLink">
            <a:rPr lang="en-US" sz="600" b="0" i="0" u="none" strike="noStrike">
              <a:solidFill>
                <a:srgbClr val="000000"/>
              </a:solidFill>
              <a:latin typeface="Calibri"/>
              <a:ea typeface="Calibri"/>
              <a:cs typeface="Calibri"/>
            </a:rPr>
            <a:pPr/>
            <a:t>89%</a:t>
          </a:fld>
          <a:endParaRPr lang="en-US" sz="1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228600</xdr:colOff>
      <xdr:row>1</xdr:row>
      <xdr:rowOff>9525</xdr:rowOff>
    </xdr:from>
    <xdr:to>
      <xdr:col>22</xdr:col>
      <xdr:colOff>192405</xdr:colOff>
      <xdr:row>9</xdr:row>
      <xdr:rowOff>111442</xdr:rowOff>
    </xdr:to>
    <xdr:graphicFrame macro="">
      <xdr:nvGraphicFramePr>
        <xdr:cNvPr id="2" name="Chart 1">
          <a:extLst>
            <a:ext uri="{FF2B5EF4-FFF2-40B4-BE49-F238E27FC236}">
              <a16:creationId xmlns:a16="http://schemas.microsoft.com/office/drawing/2014/main" id="{326DC5A7-31B5-4BD7-A5F7-C9948DFAF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7</xdr:row>
      <xdr:rowOff>19052</xdr:rowOff>
    </xdr:from>
    <xdr:to>
      <xdr:col>0</xdr:col>
      <xdr:colOff>2036445</xdr:colOff>
      <xdr:row>21</xdr:row>
      <xdr:rowOff>161925</xdr:rowOff>
    </xdr:to>
    <xdr:sp macro="" textlink="">
      <xdr:nvSpPr>
        <xdr:cNvPr id="18" name="Rectangle: Rounded Corners 17">
          <a:extLst>
            <a:ext uri="{FF2B5EF4-FFF2-40B4-BE49-F238E27FC236}">
              <a16:creationId xmlns:a16="http://schemas.microsoft.com/office/drawing/2014/main" id="{2A2ED979-CF03-434D-BCD3-6598B0BDA6DC}"/>
            </a:ext>
          </a:extLst>
        </xdr:cNvPr>
        <xdr:cNvSpPr/>
      </xdr:nvSpPr>
      <xdr:spPr>
        <a:xfrm>
          <a:off x="57150" y="1285877"/>
          <a:ext cx="1979295" cy="2809873"/>
        </a:xfrm>
        <a:prstGeom prst="roundRect">
          <a:avLst>
            <a:gd name="adj" fmla="val 7602"/>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125730</xdr:colOff>
      <xdr:row>7</xdr:row>
      <xdr:rowOff>133350</xdr:rowOff>
    </xdr:from>
    <xdr:to>
      <xdr:col>0</xdr:col>
      <xdr:colOff>1958340</xdr:colOff>
      <xdr:row>13</xdr:row>
      <xdr:rowOff>171450</xdr:rowOff>
    </xdr:to>
    <mc:AlternateContent xmlns:mc="http://schemas.openxmlformats.org/markup-compatibility/2006" xmlns:a14="http://schemas.microsoft.com/office/drawing/2010/main">
      <mc:Choice Requires="a14">
        <xdr:graphicFrame macro="">
          <xdr:nvGraphicFramePr>
            <xdr:cNvPr id="3" name="Date 2">
              <a:extLst>
                <a:ext uri="{FF2B5EF4-FFF2-40B4-BE49-F238E27FC236}">
                  <a16:creationId xmlns:a16="http://schemas.microsoft.com/office/drawing/2014/main" id="{A82E11BA-D5B9-4844-9ED7-7EAB6FAF81AC}"/>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29540" y="1418590"/>
              <a:ext cx="183261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95251</xdr:colOff>
      <xdr:row>1</xdr:row>
      <xdr:rowOff>74295</xdr:rowOff>
    </xdr:from>
    <xdr:to>
      <xdr:col>4</xdr:col>
      <xdr:colOff>485775</xdr:colOff>
      <xdr:row>3</xdr:row>
      <xdr:rowOff>91440</xdr:rowOff>
    </xdr:to>
    <xdr:sp macro="" textlink="">
      <xdr:nvSpPr>
        <xdr:cNvPr id="4" name="TextBox 3">
          <a:extLst>
            <a:ext uri="{FF2B5EF4-FFF2-40B4-BE49-F238E27FC236}">
              <a16:creationId xmlns:a16="http://schemas.microsoft.com/office/drawing/2014/main" id="{1F297FE2-3B9D-4972-BADC-80D54AD4A7E2}"/>
            </a:ext>
          </a:extLst>
        </xdr:cNvPr>
        <xdr:cNvSpPr txBox="1"/>
      </xdr:nvSpPr>
      <xdr:spPr>
        <a:xfrm>
          <a:off x="95251" y="255270"/>
          <a:ext cx="6848474" cy="379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bg1"/>
              </a:solidFill>
            </a:rPr>
            <a:t>Company Balance Sheet</a:t>
          </a:r>
        </a:p>
      </xdr:txBody>
    </xdr:sp>
    <xdr:clientData/>
  </xdr:twoCellAnchor>
  <xdr:twoCellAnchor editAs="oneCell">
    <xdr:from>
      <xdr:col>0</xdr:col>
      <xdr:colOff>120015</xdr:colOff>
      <xdr:row>14</xdr:row>
      <xdr:rowOff>11430</xdr:rowOff>
    </xdr:from>
    <xdr:to>
      <xdr:col>0</xdr:col>
      <xdr:colOff>1958340</xdr:colOff>
      <xdr:row>21</xdr:row>
      <xdr:rowOff>129540</xdr:rowOff>
    </xdr:to>
    <mc:AlternateContent xmlns:mc="http://schemas.openxmlformats.org/markup-compatibility/2006" xmlns:a14="http://schemas.microsoft.com/office/drawing/2010/main">
      <mc:Choice Requires="a14">
        <xdr:graphicFrame macro="">
          <xdr:nvGraphicFramePr>
            <xdr:cNvPr id="20" name="Accounts 1">
              <a:extLst>
                <a:ext uri="{FF2B5EF4-FFF2-40B4-BE49-F238E27FC236}">
                  <a16:creationId xmlns:a16="http://schemas.microsoft.com/office/drawing/2014/main" id="{AE1B8B5E-B4FF-3405-4D57-FCA36648E132}"/>
                </a:ext>
              </a:extLst>
            </xdr:cNvPr>
            <xdr:cNvGraphicFramePr/>
          </xdr:nvGraphicFramePr>
          <xdr:xfrm>
            <a:off x="0" y="0"/>
            <a:ext cx="0" cy="0"/>
          </xdr:xfrm>
          <a:graphic>
            <a:graphicData uri="http://schemas.microsoft.com/office/drawing/2010/slicer">
              <sle:slicer xmlns:sle="http://schemas.microsoft.com/office/drawing/2010/slicer" name="Accounts 1"/>
            </a:graphicData>
          </a:graphic>
        </xdr:graphicFrame>
      </mc:Choice>
      <mc:Fallback xmlns="">
        <xdr:sp macro="" textlink="">
          <xdr:nvSpPr>
            <xdr:cNvPr id="0" name=""/>
            <xdr:cNvSpPr>
              <a:spLocks noTextEdit="1"/>
            </xdr:cNvSpPr>
          </xdr:nvSpPr>
          <xdr:spPr>
            <a:xfrm>
              <a:off x="121920" y="2637790"/>
              <a:ext cx="1840230" cy="1451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1689191</xdr:colOff>
      <xdr:row>1</xdr:row>
      <xdr:rowOff>37828</xdr:rowOff>
    </xdr:from>
    <xdr:to>
      <xdr:col>1</xdr:col>
      <xdr:colOff>51273</xdr:colOff>
      <xdr:row>4</xdr:row>
      <xdr:rowOff>2004</xdr:rowOff>
    </xdr:to>
    <xdr:pic>
      <xdr:nvPicPr>
        <xdr:cNvPr id="22" name="Picture 21" descr="Ryanair logo in transparent PNG and vectorized SVG formats">
          <a:extLst>
            <a:ext uri="{FF2B5EF4-FFF2-40B4-BE49-F238E27FC236}">
              <a16:creationId xmlns:a16="http://schemas.microsoft.com/office/drawing/2014/main" id="{E484BECF-652F-456A-8793-79DAE47645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9191" y="221524"/>
          <a:ext cx="525618" cy="515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na Misevičiūtė" refreshedDate="45792.60521134259" createdVersion="8" refreshedVersion="8" minRefreshableVersion="3" recordCount="48" xr:uid="{439052F8-2AE4-4F57-AA91-841FB5D7DC72}">
  <cacheSource type="worksheet">
    <worksheetSource ref="A1:I1048576" sheet="DATA"/>
  </cacheSource>
  <cacheFields count="9">
    <cacheField name="Year" numFmtId="0">
      <sharedItems containsString="0" containsBlank="1" containsNumber="1" containsInteger="1" minValue="2021" maxValue="2025" count="6">
        <n v="2025"/>
        <n v="2024"/>
        <n v="2023"/>
        <n v="2022"/>
        <n v="2021"/>
        <m/>
      </sharedItems>
    </cacheField>
    <cacheField name="Month" numFmtId="0">
      <sharedItems containsBlank="1" count="13">
        <s v="April"/>
        <s v="March"/>
        <s v="February"/>
        <s v="January"/>
        <s v="December"/>
        <s v="November"/>
        <s v="October"/>
        <s v="September"/>
        <s v="August"/>
        <s v="July"/>
        <s v="June"/>
        <s v="May"/>
        <m/>
      </sharedItems>
    </cacheField>
    <cacheField name="Month (number)" numFmtId="0">
      <sharedItems containsString="0" containsBlank="1" containsNumber="1" containsInteger="1" minValue="1" maxValue="12" count="13">
        <n v="4"/>
        <n v="3"/>
        <n v="2"/>
        <n v="1"/>
        <n v="12"/>
        <n v="11"/>
        <n v="10"/>
        <n v="9"/>
        <n v="8"/>
        <n v="7"/>
        <n v="6"/>
        <n v="5"/>
        <m/>
      </sharedItems>
    </cacheField>
    <cacheField name="Passengers (M)" numFmtId="0">
      <sharedItems containsString="0" containsBlank="1" containsNumber="1" minValue="7" maxValue="20.5"/>
    </cacheField>
    <cacheField name="Passengers" numFmtId="0">
      <sharedItems containsString="0" containsBlank="1" containsNumber="1" containsInteger="1" minValue="7000000" maxValue="20500000"/>
    </cacheField>
    <cacheField name="Load Factor" numFmtId="0">
      <sharedItems containsString="0" containsBlank="1" containsNumber="1" minValue="0.79" maxValue="0.96"/>
    </cacheField>
    <cacheField name="On Time" numFmtId="0">
      <sharedItems containsString="0" containsBlank="1" containsNumber="1" minValue="0.76" maxValue="0.93"/>
    </cacheField>
    <cacheField name="Customer Satisfaction" numFmtId="0">
      <sharedItems containsString="0" containsBlank="1" containsNumber="1" minValue="0.79" maxValue="0.92"/>
    </cacheField>
    <cacheField name="CO2 Emissions" numFmtId="0">
      <sharedItems containsBlank="1"/>
    </cacheField>
  </cacheFields>
  <extLst>
    <ext xmlns:x14="http://schemas.microsoft.com/office/spreadsheetml/2009/9/main" uri="{725AE2AE-9491-48be-B2B4-4EB974FC3084}">
      <x14:pivotCacheDefinition pivotCacheId="20380466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stina Misevičiūtė" refreshedDate="45793.493514004629" createdVersion="8" refreshedVersion="8" minRefreshableVersion="3" recordCount="27" xr:uid="{0B5CCE26-7F54-4530-926A-CD41A59B3F7D}">
  <cacheSource type="worksheet">
    <worksheetSource ref="A133:D160" sheet="DATA"/>
  </cacheSource>
  <cacheFields count="5">
    <cacheField name="Date" numFmtId="0">
      <sharedItems containsSemiMixedTypes="0" containsString="0" containsNumber="1" containsInteger="1" minValue="2022" maxValue="2024" count="3">
        <n v="2022"/>
        <n v="2023"/>
        <n v="2024"/>
      </sharedItems>
    </cacheField>
    <cacheField name="Accounts" numFmtId="0">
      <sharedItems count="4">
        <s v="Non-current assets"/>
        <s v="Current assets"/>
        <s v="Current liabilities"/>
        <s v="Shareholders’ equity"/>
      </sharedItems>
    </cacheField>
    <cacheField name="Description" numFmtId="0">
      <sharedItems count="9">
        <s v="Investments in subsidiaries"/>
        <s v="Loans and receivables due from subsidiaries "/>
        <s v="Cash and cash equivalents"/>
        <s v="Amounts due to subsidiaries"/>
        <s v="Issued share capital"/>
        <s v="Share premium account"/>
        <s v="Other undenominated capital reserve"/>
        <s v="Retained earnings"/>
        <s v="Other reserves"/>
      </sharedItems>
    </cacheField>
    <cacheField name="Actual" numFmtId="0">
      <sharedItems containsSemiMixedTypes="0" containsString="0" containsNumber="1" minValue="3.5" maxValue="3325" count="22">
        <n v="175.9"/>
        <n v="1557.3"/>
        <n v="10.5"/>
        <n v="35.200000000000003"/>
        <n v="6.8"/>
        <n v="1328.2"/>
        <n v="3.5"/>
        <n v="339.5"/>
        <n v="30.5"/>
        <n v="197.6"/>
        <n v="1603"/>
        <n v="11.1"/>
        <n v="6.9"/>
        <n v="1379.9"/>
        <n v="344.9"/>
        <n v="41.3"/>
        <n v="193.7"/>
        <n v="3325"/>
        <n v="14.2"/>
        <n v="1404.3"/>
        <n v="2049.1999999999998"/>
        <n v="33.799999999999997"/>
      </sharedItems>
    </cacheField>
    <cacheField name="Difference €" numFmtId="0" formula="Actual/(SUM(Actual))-1" databaseField="0"/>
  </cacheFields>
  <extLst>
    <ext xmlns:x14="http://schemas.microsoft.com/office/spreadsheetml/2009/9/main" uri="{725AE2AE-9491-48be-B2B4-4EB974FC3084}">
      <x14:pivotCacheDefinition pivotCacheId="1697917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n v="18.3"/>
    <n v="18300000"/>
    <n v="0.93"/>
    <n v="0.9"/>
    <n v="0.9"/>
    <s v="65g"/>
  </r>
  <r>
    <x v="0"/>
    <x v="1"/>
    <x v="1"/>
    <n v="15"/>
    <n v="15000000"/>
    <n v="0.93"/>
    <n v="0.92"/>
    <n v="0.92"/>
    <s v="64g"/>
  </r>
  <r>
    <x v="0"/>
    <x v="2"/>
    <x v="2"/>
    <n v="12.6"/>
    <n v="12600000"/>
    <n v="0.92"/>
    <n v="0.91"/>
    <n v="0.89"/>
    <s v="64g"/>
  </r>
  <r>
    <x v="0"/>
    <x v="3"/>
    <x v="3"/>
    <n v="12.4"/>
    <n v="12400000"/>
    <n v="0.91"/>
    <n v="0.85"/>
    <n v="0.86"/>
    <s v="65g"/>
  </r>
  <r>
    <x v="1"/>
    <x v="4"/>
    <x v="4"/>
    <n v="13.6"/>
    <n v="13600000"/>
    <n v="0.92"/>
    <n v="0.84"/>
    <n v="0.85"/>
    <s v="65g"/>
  </r>
  <r>
    <x v="1"/>
    <x v="5"/>
    <x v="5"/>
    <n v="13"/>
    <n v="13000000"/>
    <n v="0.92"/>
    <n v="0.9"/>
    <n v="0.87"/>
    <s v="65g"/>
  </r>
  <r>
    <x v="1"/>
    <x v="6"/>
    <x v="6"/>
    <n v="18.3"/>
    <n v="18300000"/>
    <n v="0.93"/>
    <n v="0.87"/>
    <n v="0.85"/>
    <s v="65g"/>
  </r>
  <r>
    <x v="1"/>
    <x v="7"/>
    <x v="7"/>
    <n v="19.100000000000001"/>
    <n v="19100000"/>
    <n v="0.94"/>
    <n v="0.85"/>
    <n v="0.85"/>
    <s v="65g"/>
  </r>
  <r>
    <x v="1"/>
    <x v="8"/>
    <x v="8"/>
    <n v="20.5"/>
    <n v="20500000"/>
    <n v="0.96"/>
    <n v="0.86"/>
    <n v="0.85"/>
    <s v="64g"/>
  </r>
  <r>
    <x v="1"/>
    <x v="9"/>
    <x v="9"/>
    <n v="20.2"/>
    <n v="20200000"/>
    <n v="0.96"/>
    <n v="0.85"/>
    <n v="0.83"/>
    <s v="64g"/>
  </r>
  <r>
    <x v="1"/>
    <x v="10"/>
    <x v="10"/>
    <n v="19.3"/>
    <n v="19300000"/>
    <n v="0.95"/>
    <n v="0.87"/>
    <n v="0.84"/>
    <s v="65g"/>
  </r>
  <r>
    <x v="1"/>
    <x v="11"/>
    <x v="11"/>
    <n v="18.899999999999999"/>
    <n v="18900000"/>
    <n v="0.95"/>
    <n v="0.88"/>
    <n v="0.86"/>
    <s v="65g"/>
  </r>
  <r>
    <x v="1"/>
    <x v="0"/>
    <x v="0"/>
    <n v="17.3"/>
    <n v="17300000"/>
    <n v="0.92"/>
    <n v="0.88"/>
    <n v="0.88"/>
    <s v="65g"/>
  </r>
  <r>
    <x v="1"/>
    <x v="1"/>
    <x v="1"/>
    <n v="13.6"/>
    <n v="13600000"/>
    <n v="0.93"/>
    <n v="0.91"/>
    <n v="0.88"/>
    <s v="65g"/>
  </r>
  <r>
    <x v="1"/>
    <x v="2"/>
    <x v="2"/>
    <n v="11.1"/>
    <n v="11100000"/>
    <n v="0.92"/>
    <n v="0.92"/>
    <n v="0.89"/>
    <s v="64g"/>
  </r>
  <r>
    <x v="1"/>
    <x v="3"/>
    <x v="3"/>
    <n v="12.2"/>
    <n v="12200000"/>
    <n v="0.89"/>
    <n v="0.87"/>
    <n v="0.88"/>
    <s v="67g"/>
  </r>
  <r>
    <x v="2"/>
    <x v="4"/>
    <x v="4"/>
    <n v="12.5"/>
    <n v="12500000"/>
    <n v="0.91"/>
    <n v="0.83"/>
    <n v="0.85"/>
    <s v="67g"/>
  </r>
  <r>
    <x v="2"/>
    <x v="5"/>
    <x v="5"/>
    <n v="11.7"/>
    <n v="11700000"/>
    <n v="0.92"/>
    <n v="0.89"/>
    <n v="0.87"/>
    <s v="66g"/>
  </r>
  <r>
    <x v="2"/>
    <x v="6"/>
    <x v="6"/>
    <n v="17.100000000000001"/>
    <n v="17100000"/>
    <n v="0.93"/>
    <n v="0.86"/>
    <n v="0.86"/>
    <s v="66g"/>
  </r>
  <r>
    <x v="2"/>
    <x v="7"/>
    <x v="7"/>
    <n v="17.399999999999999"/>
    <n v="17400000"/>
    <n v="0.94"/>
    <n v="0.87"/>
    <n v="0.85"/>
    <s v="66g"/>
  </r>
  <r>
    <x v="2"/>
    <x v="8"/>
    <x v="8"/>
    <n v="18.899999999999999"/>
    <n v="18900000"/>
    <n v="0.96"/>
    <n v="0.86"/>
    <n v="0.84"/>
    <s v="65g"/>
  </r>
  <r>
    <x v="2"/>
    <x v="9"/>
    <x v="9"/>
    <n v="18.7"/>
    <n v="18700000"/>
    <n v="0.96"/>
    <n v="0.84"/>
    <n v="0.82"/>
    <s v="65g"/>
  </r>
  <r>
    <x v="2"/>
    <x v="10"/>
    <x v="10"/>
    <n v="17.399999999999999"/>
    <n v="17400000"/>
    <n v="0.95"/>
    <n v="0.86"/>
    <n v="0.84"/>
    <s v="66g"/>
  </r>
  <r>
    <x v="2"/>
    <x v="11"/>
    <x v="11"/>
    <n v="17"/>
    <n v="17000000"/>
    <n v="0.94"/>
    <n v="0.88"/>
    <n v="0.86"/>
    <s v="66g"/>
  </r>
  <r>
    <x v="2"/>
    <x v="0"/>
    <x v="0"/>
    <n v="16"/>
    <n v="16000000"/>
    <n v="0.94"/>
    <n v="0.86"/>
    <n v="0.85"/>
    <s v="66g"/>
  </r>
  <r>
    <x v="2"/>
    <x v="1"/>
    <x v="1"/>
    <n v="12.6"/>
    <n v="12600000"/>
    <n v="0.93"/>
    <n v="0.87"/>
    <n v="0.88"/>
    <s v="66g"/>
  </r>
  <r>
    <x v="2"/>
    <x v="2"/>
    <x v="2"/>
    <n v="10.6"/>
    <n v="10600000"/>
    <n v="0.92"/>
    <n v="0.89"/>
    <n v="0.9"/>
    <s v="65g"/>
  </r>
  <r>
    <x v="2"/>
    <x v="3"/>
    <x v="3"/>
    <n v="11.8"/>
    <n v="11800000"/>
    <n v="0.91"/>
    <n v="0.86"/>
    <n v="0.89"/>
    <s v="66g"/>
  </r>
  <r>
    <x v="3"/>
    <x v="4"/>
    <x v="4"/>
    <n v="11.5"/>
    <n v="11500000"/>
    <n v="0.92"/>
    <n v="0.76"/>
    <n v="0.87"/>
    <s v="66g"/>
  </r>
  <r>
    <x v="3"/>
    <x v="5"/>
    <x v="5"/>
    <n v="11.2"/>
    <n v="11200000"/>
    <n v="0.92"/>
    <n v="0.87"/>
    <n v="0.88"/>
    <s v="66g"/>
  </r>
  <r>
    <x v="3"/>
    <x v="6"/>
    <x v="6"/>
    <n v="15.7"/>
    <n v="15700000"/>
    <n v="0.94"/>
    <n v="0.82"/>
    <n v="0.83"/>
    <s v="66g"/>
  </r>
  <r>
    <x v="3"/>
    <x v="7"/>
    <x v="7"/>
    <n v="15.9"/>
    <n v="15900000"/>
    <n v="0.94"/>
    <n v="0.81"/>
    <n v="0.82"/>
    <s v="66g"/>
  </r>
  <r>
    <x v="3"/>
    <x v="8"/>
    <x v="8"/>
    <n v="16.899999999999999"/>
    <n v="16900000"/>
    <n v="0.96"/>
    <n v="0.82"/>
    <n v="0.82"/>
    <s v="65g"/>
  </r>
  <r>
    <x v="3"/>
    <x v="9"/>
    <x v="9"/>
    <n v="16.8"/>
    <n v="16800000"/>
    <n v="0.96"/>
    <n v="0.79"/>
    <n v="0.81"/>
    <s v="65g"/>
  </r>
  <r>
    <x v="3"/>
    <x v="10"/>
    <x v="10"/>
    <n v="15.9"/>
    <n v="15900000"/>
    <n v="0.95"/>
    <n v="0.81"/>
    <n v="0.79"/>
    <s v="65g"/>
  </r>
  <r>
    <x v="3"/>
    <x v="11"/>
    <x v="11"/>
    <n v="15.4"/>
    <n v="15400000"/>
    <n v="0.92"/>
    <n v="0.86"/>
    <n v="0.86"/>
    <s v="66g"/>
  </r>
  <r>
    <x v="3"/>
    <x v="0"/>
    <x v="0"/>
    <n v="14.2"/>
    <n v="14200000"/>
    <n v="0.91"/>
    <n v="0.85"/>
    <n v="0.85"/>
    <s v="67g"/>
  </r>
  <r>
    <x v="3"/>
    <x v="1"/>
    <x v="1"/>
    <n v="11.2"/>
    <n v="11200000"/>
    <n v="0.87"/>
    <n v="0.92"/>
    <n v="0.91"/>
    <s v="69g"/>
  </r>
  <r>
    <x v="3"/>
    <x v="2"/>
    <x v="2"/>
    <n v="8.6999999999999993"/>
    <n v="8700000"/>
    <n v="0.86"/>
    <n v="0.93"/>
    <n v="0.9"/>
    <s v="70g"/>
  </r>
  <r>
    <x v="3"/>
    <x v="3"/>
    <x v="3"/>
    <n v="7"/>
    <n v="7000000"/>
    <n v="0.79"/>
    <n v="0.93"/>
    <n v="0.91"/>
    <s v="75g"/>
  </r>
  <r>
    <x v="4"/>
    <x v="4"/>
    <x v="4"/>
    <n v="9.5"/>
    <n v="9500000"/>
    <n v="0.81"/>
    <n v="0.89"/>
    <n v="0.89"/>
    <s v="77g"/>
  </r>
  <r>
    <x v="4"/>
    <x v="5"/>
    <x v="5"/>
    <n v="10.199999999999999"/>
    <n v="10200000"/>
    <n v="0.86"/>
    <n v="0.92"/>
    <n v="0.89"/>
    <s v="73g"/>
  </r>
  <r>
    <x v="4"/>
    <x v="6"/>
    <x v="6"/>
    <n v="11.3"/>
    <n v="11300000"/>
    <n v="0.84"/>
    <n v="0.9"/>
    <n v="0.9"/>
    <s v="76g"/>
  </r>
  <r>
    <x v="4"/>
    <x v="7"/>
    <x v="7"/>
    <n v="10.6"/>
    <n v="10600000"/>
    <n v="0.81"/>
    <n v="0.9"/>
    <n v="0.9"/>
    <s v="78g"/>
  </r>
  <r>
    <x v="4"/>
    <x v="8"/>
    <x v="8"/>
    <n v="11.1"/>
    <n v="11100000"/>
    <n v="0.82"/>
    <n v="0.89"/>
    <n v="0.87"/>
    <s v="77g"/>
  </r>
  <r>
    <x v="5"/>
    <x v="12"/>
    <x v="12"/>
    <m/>
    <m/>
    <m/>
    <m/>
    <m/>
    <m/>
  </r>
  <r>
    <x v="5"/>
    <x v="12"/>
    <x v="12"/>
    <m/>
    <m/>
    <m/>
    <m/>
    <m/>
    <m/>
  </r>
  <r>
    <x v="5"/>
    <x v="12"/>
    <x v="12"/>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x v="0"/>
    <x v="0"/>
    <x v="0"/>
    <x v="0"/>
  </r>
  <r>
    <x v="0"/>
    <x v="1"/>
    <x v="1"/>
    <x v="1"/>
  </r>
  <r>
    <x v="0"/>
    <x v="1"/>
    <x v="2"/>
    <x v="2"/>
  </r>
  <r>
    <x v="0"/>
    <x v="2"/>
    <x v="3"/>
    <x v="3"/>
  </r>
  <r>
    <x v="0"/>
    <x v="3"/>
    <x v="4"/>
    <x v="4"/>
  </r>
  <r>
    <x v="0"/>
    <x v="3"/>
    <x v="5"/>
    <x v="5"/>
  </r>
  <r>
    <x v="0"/>
    <x v="3"/>
    <x v="6"/>
    <x v="6"/>
  </r>
  <r>
    <x v="0"/>
    <x v="3"/>
    <x v="7"/>
    <x v="7"/>
  </r>
  <r>
    <x v="0"/>
    <x v="3"/>
    <x v="8"/>
    <x v="8"/>
  </r>
  <r>
    <x v="1"/>
    <x v="0"/>
    <x v="0"/>
    <x v="9"/>
  </r>
  <r>
    <x v="1"/>
    <x v="1"/>
    <x v="1"/>
    <x v="10"/>
  </r>
  <r>
    <x v="1"/>
    <x v="1"/>
    <x v="2"/>
    <x v="11"/>
  </r>
  <r>
    <x v="1"/>
    <x v="2"/>
    <x v="3"/>
    <x v="3"/>
  </r>
  <r>
    <x v="1"/>
    <x v="3"/>
    <x v="4"/>
    <x v="12"/>
  </r>
  <r>
    <x v="1"/>
    <x v="3"/>
    <x v="5"/>
    <x v="13"/>
  </r>
  <r>
    <x v="1"/>
    <x v="3"/>
    <x v="6"/>
    <x v="6"/>
  </r>
  <r>
    <x v="1"/>
    <x v="3"/>
    <x v="7"/>
    <x v="14"/>
  </r>
  <r>
    <x v="1"/>
    <x v="3"/>
    <x v="8"/>
    <x v="15"/>
  </r>
  <r>
    <x v="2"/>
    <x v="0"/>
    <x v="0"/>
    <x v="16"/>
  </r>
  <r>
    <x v="2"/>
    <x v="1"/>
    <x v="1"/>
    <x v="17"/>
  </r>
  <r>
    <x v="2"/>
    <x v="1"/>
    <x v="2"/>
    <x v="18"/>
  </r>
  <r>
    <x v="2"/>
    <x v="2"/>
    <x v="3"/>
    <x v="3"/>
  </r>
  <r>
    <x v="2"/>
    <x v="3"/>
    <x v="4"/>
    <x v="12"/>
  </r>
  <r>
    <x v="2"/>
    <x v="3"/>
    <x v="5"/>
    <x v="19"/>
  </r>
  <r>
    <x v="2"/>
    <x v="3"/>
    <x v="6"/>
    <x v="6"/>
  </r>
  <r>
    <x v="2"/>
    <x v="3"/>
    <x v="7"/>
    <x v="20"/>
  </r>
  <r>
    <x v="2"/>
    <x v="3"/>
    <x v="8"/>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AF65F7-EA04-4100-A3B5-F3A678AD1D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R9" firstHeaderRow="1" firstDataRow="2" firstDataCol="1"/>
  <pivotFields count="9">
    <pivotField axis="axisCol" showAll="0">
      <items count="7">
        <item x="4"/>
        <item x="3"/>
        <item x="2"/>
        <item x="1"/>
        <item x="0"/>
        <item x="5"/>
        <item t="default"/>
      </items>
    </pivotField>
    <pivotField showAll="0"/>
    <pivotField showAll="0"/>
    <pivotField showAll="0"/>
    <pivotField showAll="0"/>
    <pivotField dataField="1" showAll="0"/>
    <pivotField showAll="0"/>
    <pivotField showAll="0"/>
    <pivotField showAll="0"/>
  </pivotFields>
  <rowItems count="1">
    <i/>
  </rowItems>
  <colFields count="1">
    <field x="0"/>
  </colFields>
  <colItems count="7">
    <i>
      <x/>
    </i>
    <i>
      <x v="1"/>
    </i>
    <i>
      <x v="2"/>
    </i>
    <i>
      <x v="3"/>
    </i>
    <i>
      <x v="4"/>
    </i>
    <i>
      <x v="5"/>
    </i>
    <i t="grand">
      <x/>
    </i>
  </colItems>
  <dataFields count="1">
    <dataField name="Average of Load Factor" fld="5" subtotal="average" baseField="0" baseItem="0" numFmtId="9"/>
  </dataFields>
  <formats count="1">
    <format dxfId="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DD021E-B78D-4D0D-9825-0CA34A4BCCD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4:R16" firstHeaderRow="1" firstDataRow="2" firstDataCol="1"/>
  <pivotFields count="9">
    <pivotField axis="axisCol" showAll="0">
      <items count="7">
        <item x="4"/>
        <item x="3"/>
        <item x="2"/>
        <item x="1"/>
        <item x="0"/>
        <item x="5"/>
        <item t="default"/>
      </items>
    </pivotField>
    <pivotField showAll="0"/>
    <pivotField showAll="0"/>
    <pivotField showAll="0"/>
    <pivotField showAll="0"/>
    <pivotField showAll="0"/>
    <pivotField dataField="1" showAll="0"/>
    <pivotField showAll="0"/>
    <pivotField showAll="0"/>
  </pivotFields>
  <rowItems count="1">
    <i/>
  </rowItems>
  <colFields count="1">
    <field x="0"/>
  </colFields>
  <colItems count="7">
    <i>
      <x/>
    </i>
    <i>
      <x v="1"/>
    </i>
    <i>
      <x v="2"/>
    </i>
    <i>
      <x v="3"/>
    </i>
    <i>
      <x v="4"/>
    </i>
    <i>
      <x v="5"/>
    </i>
    <i t="grand">
      <x/>
    </i>
  </colItems>
  <dataFields count="1">
    <dataField name="Average of On Time" fld="6" subtotal="average" baseField="0" baseItem="0" numFmtId="9"/>
  </dataFields>
  <formats count="2">
    <format dxfId="68">
      <pivotArea outline="0" collapsedLevelsAreSubtotals="1" fieldPosition="0"/>
    </format>
    <format dxfId="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E1067B-DFB8-4C5A-AFB1-ECFA1C551F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R3" firstHeaderRow="1" firstDataRow="2" firstDataCol="1"/>
  <pivotFields count="9">
    <pivotField axis="axisCol" showAll="0">
      <items count="7">
        <item x="4"/>
        <item x="3"/>
        <item x="2"/>
        <item x="1"/>
        <item x="0"/>
        <item x="5"/>
        <item t="default"/>
      </items>
    </pivotField>
    <pivotField showAll="0"/>
    <pivotField showAll="0"/>
    <pivotField showAll="0"/>
    <pivotField dataField="1" showAll="0"/>
    <pivotField showAll="0"/>
    <pivotField showAll="0"/>
    <pivotField showAll="0"/>
    <pivotField showAll="0"/>
  </pivotFields>
  <rowItems count="1">
    <i/>
  </rowItems>
  <colFields count="1">
    <field x="0"/>
  </colFields>
  <colItems count="7">
    <i>
      <x/>
    </i>
    <i>
      <x v="1"/>
    </i>
    <i>
      <x v="2"/>
    </i>
    <i>
      <x v="3"/>
    </i>
    <i>
      <x v="4"/>
    </i>
    <i>
      <x v="5"/>
    </i>
    <i t="grand">
      <x/>
    </i>
  </colItems>
  <dataFields count="1">
    <dataField name="Sum of Passengers" fld="4" baseField="0" baseItem="0" numFmtId="166"/>
  </dataFields>
  <formats count="1">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8AA958-A96F-4075-AD0F-8F507EEDE10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120:L127" firstHeaderRow="1" firstDataRow="1" firstDataCol="1"/>
  <pivotFields count="9">
    <pivotField axis="axisRow" showAll="0">
      <items count="7">
        <item x="4"/>
        <item x="3"/>
        <item x="2"/>
        <item x="1"/>
        <item x="0"/>
        <item x="5"/>
        <item t="default"/>
      </items>
    </pivotField>
    <pivotField showAll="0"/>
    <pivotField showAll="0"/>
    <pivotField showAll="0"/>
    <pivotField showAll="0"/>
    <pivotField showAll="0"/>
    <pivotField showAll="0"/>
    <pivotField dataField="1" showAll="0"/>
    <pivotField showAll="0"/>
  </pivotFields>
  <rowFields count="1">
    <field x="0"/>
  </rowFields>
  <rowItems count="7">
    <i>
      <x/>
    </i>
    <i>
      <x v="1"/>
    </i>
    <i>
      <x v="2"/>
    </i>
    <i>
      <x v="3"/>
    </i>
    <i>
      <x v="4"/>
    </i>
    <i>
      <x v="5"/>
    </i>
    <i t="grand">
      <x/>
    </i>
  </rowItems>
  <colItems count="1">
    <i/>
  </colItems>
  <dataFields count="1">
    <dataField name="Average of Customer Satisfaction" fld="7" subtotal="average" baseField="0" baseItem="0" numFmtId="9"/>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12485-E650-43A2-88F5-7AC30426514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6:R61" firstHeaderRow="1" firstDataRow="2" firstDataCol="1"/>
  <pivotFields count="9">
    <pivotField axis="axisCol" showAll="0">
      <items count="7">
        <item x="4"/>
        <item x="3"/>
        <item x="2"/>
        <item x="1"/>
        <item x="0"/>
        <item x="5"/>
        <item t="default"/>
      </items>
    </pivotField>
    <pivotField axis="axisRow" showAll="0">
      <items count="14">
        <item x="3"/>
        <item x="2"/>
        <item x="1"/>
        <item x="0"/>
        <item x="11"/>
        <item x="10"/>
        <item x="9"/>
        <item x="8"/>
        <item x="7"/>
        <item x="6"/>
        <item x="5"/>
        <item x="4"/>
        <item x="12"/>
        <item t="default"/>
      </items>
    </pivotField>
    <pivotField showAll="0"/>
    <pivotField showAll="0"/>
    <pivotField showAll="0"/>
    <pivotField showAll="0"/>
    <pivotField showAll="0"/>
    <pivotField dataField="1" showAll="0"/>
    <pivotField showAll="0"/>
  </pivotFields>
  <rowFields count="1">
    <field x="1"/>
  </rowFields>
  <rowItems count="14">
    <i>
      <x/>
    </i>
    <i>
      <x v="1"/>
    </i>
    <i>
      <x v="2"/>
    </i>
    <i>
      <x v="3"/>
    </i>
    <i>
      <x v="4"/>
    </i>
    <i>
      <x v="5"/>
    </i>
    <i>
      <x v="6"/>
    </i>
    <i>
      <x v="7"/>
    </i>
    <i>
      <x v="8"/>
    </i>
    <i>
      <x v="9"/>
    </i>
    <i>
      <x v="10"/>
    </i>
    <i>
      <x v="11"/>
    </i>
    <i>
      <x v="12"/>
    </i>
    <i t="grand">
      <x/>
    </i>
  </rowItems>
  <colFields count="1">
    <field x="0"/>
  </colFields>
  <colItems count="7">
    <i>
      <x/>
    </i>
    <i>
      <x v="1"/>
    </i>
    <i>
      <x v="2"/>
    </i>
    <i>
      <x v="3"/>
    </i>
    <i>
      <x v="4"/>
    </i>
    <i>
      <x v="5"/>
    </i>
    <i t="grand">
      <x/>
    </i>
  </colItems>
  <dataFields count="1">
    <dataField name="Average of Customer Satisfaction" fld="7" subtotal="average" baseField="1" baseItem="0" numFmtId="9"/>
  </dataFields>
  <formats count="1">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DB4733-2E72-4BC8-A5D0-36388A5185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5:R40" firstHeaderRow="1" firstDataRow="2" firstDataCol="1"/>
  <pivotFields count="9">
    <pivotField axis="axisCol" showAll="0">
      <items count="7">
        <item x="4"/>
        <item x="3"/>
        <item x="2"/>
        <item x="1"/>
        <item x="0"/>
        <item x="5"/>
        <item t="default"/>
      </items>
    </pivotField>
    <pivotField axis="axisRow" showAll="0">
      <items count="14">
        <item x="3"/>
        <item x="2"/>
        <item x="1"/>
        <item x="0"/>
        <item x="11"/>
        <item x="10"/>
        <item x="9"/>
        <item x="8"/>
        <item x="7"/>
        <item x="6"/>
        <item x="5"/>
        <item x="4"/>
        <item x="12"/>
        <item t="default"/>
      </items>
    </pivotField>
    <pivotField showAll="0"/>
    <pivotField showAll="0"/>
    <pivotField dataField="1"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Fields count="1">
    <field x="0"/>
  </colFields>
  <colItems count="7">
    <i>
      <x/>
    </i>
    <i>
      <x v="1"/>
    </i>
    <i>
      <x v="2"/>
    </i>
    <i>
      <x v="3"/>
    </i>
    <i>
      <x v="4"/>
    </i>
    <i>
      <x v="5"/>
    </i>
    <i t="grand">
      <x/>
    </i>
  </colItems>
  <dataFields count="1">
    <dataField name="Sum of Passengers" fld="4" baseField="0" baseItem="0" numFmtId="166"/>
  </dataFields>
  <formats count="1">
    <format dxfId="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3051AE-5E2F-4CF3-AD74-DF5623F4E681}"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68:M115" firstHeaderRow="1" firstDataRow="1" firstDataCol="2"/>
  <pivotFields count="9">
    <pivotField axis="axisRow" compact="0" outline="0" showAll="0" defaultSubtotal="0">
      <items count="6">
        <item x="4"/>
        <item x="3"/>
        <item x="2"/>
        <item x="1"/>
        <item x="0"/>
        <item x="5"/>
      </items>
    </pivotField>
    <pivotField compact="0" outline="0" showAll="0" defaultSubtotal="0"/>
    <pivotField axis="axisRow" compact="0" outline="0" showAll="0" defaultSubtotal="0">
      <items count="13">
        <item x="3"/>
        <item x="2"/>
        <item x="1"/>
        <item x="0"/>
        <item x="11"/>
        <item x="10"/>
        <item x="9"/>
        <item x="8"/>
        <item x="7"/>
        <item x="6"/>
        <item x="5"/>
        <item x="4"/>
        <item x="12"/>
      </items>
    </pivotField>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0"/>
    <field x="2"/>
  </rowFields>
  <rowItems count="47">
    <i>
      <x/>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x v="4"/>
      <x/>
    </i>
    <i r="1">
      <x v="1"/>
    </i>
    <i r="1">
      <x v="2"/>
    </i>
    <i r="1">
      <x v="3"/>
    </i>
    <i>
      <x v="5"/>
      <x v="12"/>
    </i>
    <i t="grand">
      <x/>
    </i>
  </rowItems>
  <colItems count="1">
    <i/>
  </colItems>
  <dataFields count="1">
    <dataField name="Sum of Passengers" fld="4" baseField="0" baseItem="0"/>
  </dataFields>
  <formats count="1">
    <format dxfId="73">
      <pivotArea outline="0" fieldPosition="0">
        <references count="2">
          <reference field="0" count="5" selected="0">
            <x v="0"/>
            <x v="1"/>
            <x v="2"/>
            <x v="3"/>
            <x v="4"/>
          </reference>
          <reference field="2" count="12" selected="0">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6B0C00-05A9-4E7E-A668-6A0B0FBF3DE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0:R22" firstHeaderRow="1" firstDataRow="2" firstDataCol="1"/>
  <pivotFields count="9">
    <pivotField axis="axisCol" showAll="0">
      <items count="7">
        <item x="4"/>
        <item x="3"/>
        <item x="2"/>
        <item x="1"/>
        <item x="0"/>
        <item x="5"/>
        <item t="default"/>
      </items>
    </pivotField>
    <pivotField showAll="0"/>
    <pivotField showAll="0"/>
    <pivotField showAll="0"/>
    <pivotField showAll="0"/>
    <pivotField showAll="0"/>
    <pivotField showAll="0"/>
    <pivotField dataField="1" showAll="0"/>
    <pivotField showAll="0"/>
  </pivotFields>
  <rowItems count="1">
    <i/>
  </rowItems>
  <colFields count="1">
    <field x="0"/>
  </colFields>
  <colItems count="7">
    <i>
      <x/>
    </i>
    <i>
      <x v="1"/>
    </i>
    <i>
      <x v="2"/>
    </i>
    <i>
      <x v="3"/>
    </i>
    <i>
      <x v="4"/>
    </i>
    <i>
      <x v="5"/>
    </i>
    <i t="grand">
      <x/>
    </i>
  </colItems>
  <dataFields count="1">
    <dataField name="Average of Customer Satisfaction" fld="7" subtotal="average" baseField="0" baseItem="0" numFmtId="9"/>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E91EA14-AC98-47EA-BF45-A3FDEE113871}"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multipleFieldFilters="0" chartFormat="8">
  <location ref="C8:D21" firstHeaderRow="1" firstDataRow="1" firstDataCol="1"/>
  <pivotFields count="5">
    <pivotField showAll="0">
      <items count="4">
        <item x="0"/>
        <item x="1"/>
        <item x="2"/>
        <item t="default"/>
      </items>
    </pivotField>
    <pivotField axis="axisRow" showAll="0">
      <items count="5">
        <item x="1"/>
        <item x="2"/>
        <item x="0"/>
        <item x="3"/>
        <item t="default"/>
      </items>
    </pivotField>
    <pivotField axis="axisRow" showAll="0">
      <items count="10">
        <item x="3"/>
        <item x="2"/>
        <item x="0"/>
        <item x="4"/>
        <item x="1"/>
        <item x="8"/>
        <item x="6"/>
        <item x="7"/>
        <item x="5"/>
        <item t="default"/>
      </items>
    </pivotField>
    <pivotField dataField="1" showAll="0"/>
    <pivotField dragToRow="0" dragToCol="0" dragToPage="0" showAll="0" defaultSubtotal="0"/>
  </pivotFields>
  <rowFields count="2">
    <field x="1"/>
    <field x="2"/>
  </rowFields>
  <rowItems count="13">
    <i>
      <x/>
    </i>
    <i r="1">
      <x v="1"/>
    </i>
    <i r="1">
      <x v="4"/>
    </i>
    <i>
      <x v="1"/>
    </i>
    <i r="1">
      <x/>
    </i>
    <i>
      <x v="2"/>
    </i>
    <i r="1">
      <x v="2"/>
    </i>
    <i>
      <x v="3"/>
    </i>
    <i r="1">
      <x v="3"/>
    </i>
    <i r="1">
      <x v="5"/>
    </i>
    <i r="1">
      <x v="6"/>
    </i>
    <i r="1">
      <x v="7"/>
    </i>
    <i r="1">
      <x v="8"/>
    </i>
  </rowItems>
  <colItems count="1">
    <i/>
  </colItems>
  <dataFields count="1">
    <dataField name="Actual (€)" fld="3" baseField="1" baseItem="0" numFmtId="164"/>
  </dataFields>
  <formats count="66">
    <format dxfId="65">
      <pivotArea dataOnly="0" labelOnly="1" outline="0" axis="axisValues" fieldPosition="0"/>
    </format>
    <format dxfId="64">
      <pivotArea dataOnly="0" labelOnly="1" outline="0" axis="axisValues" fieldPosition="0"/>
    </format>
    <format dxfId="63">
      <pivotArea collapsedLevelsAreSubtotals="1" fieldPosition="0">
        <references count="1">
          <reference field="1" count="1">
            <x v="0"/>
          </reference>
        </references>
      </pivotArea>
    </format>
    <format dxfId="62">
      <pivotArea dataOnly="0" labelOnly="1" fieldPosition="0">
        <references count="1">
          <reference field="1" count="1">
            <x v="0"/>
          </reference>
        </references>
      </pivotArea>
    </format>
    <format dxfId="61">
      <pivotArea collapsedLevelsAreSubtotals="1" fieldPosition="0">
        <references count="1">
          <reference field="1" count="1">
            <x v="1"/>
          </reference>
        </references>
      </pivotArea>
    </format>
    <format dxfId="60">
      <pivotArea dataOnly="0" labelOnly="1" fieldPosition="0">
        <references count="1">
          <reference field="1" count="1">
            <x v="1"/>
          </reference>
        </references>
      </pivotArea>
    </format>
    <format dxfId="59">
      <pivotArea collapsedLevelsAreSubtotals="1" fieldPosition="0">
        <references count="1">
          <reference field="1" count="1">
            <x v="2"/>
          </reference>
        </references>
      </pivotArea>
    </format>
    <format dxfId="58">
      <pivotArea dataOnly="0" labelOnly="1" fieldPosition="0">
        <references count="1">
          <reference field="1" count="1">
            <x v="2"/>
          </reference>
        </references>
      </pivotArea>
    </format>
    <format dxfId="57">
      <pivotArea collapsedLevelsAreSubtotals="1" fieldPosition="0">
        <references count="1">
          <reference field="1" count="1">
            <x v="3"/>
          </reference>
        </references>
      </pivotArea>
    </format>
    <format dxfId="56">
      <pivotArea dataOnly="0" labelOnly="1" fieldPosition="0">
        <references count="1">
          <reference field="1" count="1">
            <x v="3"/>
          </reference>
        </references>
      </pivotArea>
    </format>
    <format dxfId="55">
      <pivotArea dataOnly="0" labelOnly="1" outline="0" axis="axisValues" fieldPosition="0"/>
    </format>
    <format dxfId="54">
      <pivotArea dataOnly="0" labelOnly="1" outline="0" axis="axisValues" fieldPosition="0"/>
    </format>
    <format dxfId="53">
      <pivotArea dataOnly="0" labelOnly="1" outline="0" axis="axisValues" fieldPosition="0"/>
    </format>
    <format dxfId="52">
      <pivotArea dataOnly="0" labelOnly="1" outline="0" axis="axisValues" fieldPosition="0"/>
    </format>
    <format dxfId="51">
      <pivotArea collapsedLevelsAreSubtotals="1" fieldPosition="0">
        <references count="1">
          <reference field="1" count="1">
            <x v="0"/>
          </reference>
        </references>
      </pivotArea>
    </format>
    <format dxfId="50">
      <pivotArea collapsedLevelsAreSubtotals="1" fieldPosition="0">
        <references count="1">
          <reference field="1" count="1">
            <x v="1"/>
          </reference>
        </references>
      </pivotArea>
    </format>
    <format dxfId="49">
      <pivotArea collapsedLevelsAreSubtotals="1" fieldPosition="0">
        <references count="1">
          <reference field="1" count="1">
            <x v="2"/>
          </reference>
        </references>
      </pivotArea>
    </format>
    <format dxfId="48">
      <pivotArea collapsedLevelsAreSubtotals="1" fieldPosition="0">
        <references count="1">
          <reference field="1" count="1">
            <x v="3"/>
          </reference>
        </references>
      </pivotArea>
    </format>
    <format dxfId="47">
      <pivotArea dataOnly="0" labelOnly="1" fieldPosition="0">
        <references count="1">
          <reference field="1" count="1">
            <x v="0"/>
          </reference>
        </references>
      </pivotArea>
    </format>
    <format dxfId="46">
      <pivotArea collapsedLevelsAreSubtotals="1" fieldPosition="0">
        <references count="1">
          <reference field="1" count="1">
            <x v="0"/>
          </reference>
        </references>
      </pivotArea>
    </format>
    <format dxfId="45">
      <pivotArea dataOnly="0" labelOnly="1" fieldPosition="0">
        <references count="2">
          <reference field="1" count="1" selected="0">
            <x v="0"/>
          </reference>
          <reference field="2" count="1">
            <x v="1"/>
          </reference>
        </references>
      </pivotArea>
    </format>
    <format dxfId="44">
      <pivotArea collapsedLevelsAreSubtotals="1" fieldPosition="0">
        <references count="2">
          <reference field="1" count="1" selected="0">
            <x v="0"/>
          </reference>
          <reference field="2" count="1">
            <x v="1"/>
          </reference>
        </references>
      </pivotArea>
    </format>
    <format dxfId="43">
      <pivotArea collapsedLevelsAreSubtotals="1" fieldPosition="0">
        <references count="1">
          <reference field="1" count="1">
            <x v="1"/>
          </reference>
        </references>
      </pivotArea>
    </format>
    <format dxfId="42">
      <pivotArea collapsedLevelsAreSubtotals="1" fieldPosition="0">
        <references count="1">
          <reference field="1" count="1">
            <x v="2"/>
          </reference>
        </references>
      </pivotArea>
    </format>
    <format dxfId="41">
      <pivotArea collapsedLevelsAreSubtotals="1" fieldPosition="0">
        <references count="1">
          <reference field="1" count="1">
            <x v="3"/>
          </reference>
        </references>
      </pivotArea>
    </format>
    <format dxfId="40">
      <pivotArea dataOnly="0" labelOnly="1" fieldPosition="0">
        <references count="1">
          <reference field="1" count="3">
            <x v="1"/>
            <x v="2"/>
            <x v="3"/>
          </reference>
        </references>
      </pivotArea>
    </format>
    <format dxfId="39">
      <pivotArea collapsedLevelsAreSubtotals="1" fieldPosition="0">
        <references count="2">
          <reference field="1" count="1" selected="0">
            <x v="0"/>
          </reference>
          <reference field="2" count="2">
            <x v="1"/>
            <x v="4"/>
          </reference>
        </references>
      </pivotArea>
    </format>
    <format dxfId="38">
      <pivotArea dataOnly="0" labelOnly="1" fieldPosition="0">
        <references count="2">
          <reference field="1" count="1" selected="0">
            <x v="0"/>
          </reference>
          <reference field="2" count="2">
            <x v="1"/>
            <x v="4"/>
          </reference>
        </references>
      </pivotArea>
    </format>
    <format dxfId="37">
      <pivotArea collapsedLevelsAreSubtotals="1" fieldPosition="0">
        <references count="2">
          <reference field="1" count="1" selected="0">
            <x v="1"/>
          </reference>
          <reference field="2" count="1">
            <x v="0"/>
          </reference>
        </references>
      </pivotArea>
    </format>
    <format dxfId="36">
      <pivotArea dataOnly="0" labelOnly="1" fieldPosition="0">
        <references count="2">
          <reference field="1" count="1" selected="0">
            <x v="1"/>
          </reference>
          <reference field="2" count="1">
            <x v="0"/>
          </reference>
        </references>
      </pivotArea>
    </format>
    <format dxfId="35">
      <pivotArea collapsedLevelsAreSubtotals="1" fieldPosition="0">
        <references count="2">
          <reference field="1" count="1" selected="0">
            <x v="2"/>
          </reference>
          <reference field="2" count="1">
            <x v="2"/>
          </reference>
        </references>
      </pivotArea>
    </format>
    <format dxfId="34">
      <pivotArea dataOnly="0" labelOnly="1" fieldPosition="0">
        <references count="2">
          <reference field="1" count="1" selected="0">
            <x v="2"/>
          </reference>
          <reference field="2" count="1">
            <x v="2"/>
          </reference>
        </references>
      </pivotArea>
    </format>
    <format dxfId="33">
      <pivotArea collapsedLevelsAreSubtotals="1" fieldPosition="0">
        <references count="2">
          <reference field="1" count="1" selected="0">
            <x v="3"/>
          </reference>
          <reference field="2" count="5">
            <x v="3"/>
            <x v="5"/>
            <x v="6"/>
            <x v="7"/>
            <x v="8"/>
          </reference>
        </references>
      </pivotArea>
    </format>
    <format dxfId="32">
      <pivotArea dataOnly="0" labelOnly="1" fieldPosition="0">
        <references count="2">
          <reference field="1" count="1" selected="0">
            <x v="3"/>
          </reference>
          <reference field="2" count="5">
            <x v="3"/>
            <x v="5"/>
            <x v="6"/>
            <x v="7"/>
            <x v="8"/>
          </reference>
        </references>
      </pivotArea>
    </format>
    <format dxfId="31">
      <pivotArea outline="0" collapsedLevelsAreSubtotals="1" fieldPosition="0"/>
    </format>
    <format dxfId="30">
      <pivotArea outline="0" collapsedLevelsAreSubtotals="1" fieldPosition="0"/>
    </format>
    <format dxfId="29">
      <pivotArea outline="0" collapsedLevelsAreSubtotals="1" fieldPosition="0"/>
    </format>
    <format dxfId="28">
      <pivotArea collapsedLevelsAreSubtotals="1" fieldPosition="0">
        <references count="2">
          <reference field="1" count="1" selected="0">
            <x v="0"/>
          </reference>
          <reference field="2" count="1">
            <x v="4"/>
          </reference>
        </references>
      </pivotArea>
    </format>
    <format dxfId="27">
      <pivotArea collapsedLevelsAreSubtotals="1" fieldPosition="0">
        <references count="1">
          <reference field="1" count="1">
            <x v="1"/>
          </reference>
        </references>
      </pivotArea>
    </format>
    <format dxfId="26">
      <pivotArea dataOnly="0" labelOnly="1" fieldPosition="0">
        <references count="1">
          <reference field="1" count="1">
            <x v="1"/>
          </reference>
        </references>
      </pivotArea>
    </format>
    <format dxfId="25">
      <pivotArea dataOnly="0" labelOnly="1" fieldPosition="0">
        <references count="2">
          <reference field="1" count="1" selected="0">
            <x v="0"/>
          </reference>
          <reference field="2" count="1">
            <x v="4"/>
          </reference>
        </references>
      </pivotArea>
    </format>
    <format dxfId="24">
      <pivotArea collapsedLevelsAreSubtotals="1" fieldPosition="0">
        <references count="2">
          <reference field="1" count="1" selected="0">
            <x v="1"/>
          </reference>
          <reference field="2" count="1">
            <x v="0"/>
          </reference>
        </references>
      </pivotArea>
    </format>
    <format dxfId="23">
      <pivotArea dataOnly="0" labelOnly="1" fieldPosition="0">
        <references count="2">
          <reference field="1" count="1" selected="0">
            <x v="1"/>
          </reference>
          <reference field="2" count="1">
            <x v="0"/>
          </reference>
        </references>
      </pivotArea>
    </format>
    <format dxfId="22">
      <pivotArea collapsedLevelsAreSubtotals="1" fieldPosition="0">
        <references count="1">
          <reference field="1" count="1">
            <x v="2"/>
          </reference>
        </references>
      </pivotArea>
    </format>
    <format dxfId="21">
      <pivotArea dataOnly="0" labelOnly="1" fieldPosition="0">
        <references count="1">
          <reference field="1" count="1">
            <x v="2"/>
          </reference>
        </references>
      </pivotArea>
    </format>
    <format dxfId="20">
      <pivotArea collapsedLevelsAreSubtotals="1" fieldPosition="0">
        <references count="2">
          <reference field="1" count="1" selected="0">
            <x v="2"/>
          </reference>
          <reference field="2" count="1">
            <x v="2"/>
          </reference>
        </references>
      </pivotArea>
    </format>
    <format dxfId="19">
      <pivotArea dataOnly="0" labelOnly="1" fieldPosition="0">
        <references count="2">
          <reference field="1" count="1" selected="0">
            <x v="2"/>
          </reference>
          <reference field="2" count="1">
            <x v="2"/>
          </reference>
        </references>
      </pivotArea>
    </format>
    <format dxfId="18">
      <pivotArea collapsedLevelsAreSubtotals="1" fieldPosition="0">
        <references count="1">
          <reference field="1" count="1">
            <x v="3"/>
          </reference>
        </references>
      </pivotArea>
    </format>
    <format dxfId="17">
      <pivotArea dataOnly="0" labelOnly="1" fieldPosition="0">
        <references count="1">
          <reference field="1" count="1">
            <x v="3"/>
          </reference>
        </references>
      </pivotArea>
    </format>
    <format dxfId="16">
      <pivotArea collapsedLevelsAreSubtotals="1" fieldPosition="0">
        <references count="2">
          <reference field="1" count="1" selected="0">
            <x v="3"/>
          </reference>
          <reference field="2" count="1">
            <x v="3"/>
          </reference>
        </references>
      </pivotArea>
    </format>
    <format dxfId="15">
      <pivotArea dataOnly="0" labelOnly="1" fieldPosition="0">
        <references count="2">
          <reference field="1" count="1" selected="0">
            <x v="3"/>
          </reference>
          <reference field="2" count="1">
            <x v="3"/>
          </reference>
        </references>
      </pivotArea>
    </format>
    <format dxfId="14">
      <pivotArea collapsedLevelsAreSubtotals="1" fieldPosition="0">
        <references count="2">
          <reference field="1" count="1" selected="0">
            <x v="3"/>
          </reference>
          <reference field="2" count="1">
            <x v="5"/>
          </reference>
        </references>
      </pivotArea>
    </format>
    <format dxfId="13">
      <pivotArea dataOnly="0" labelOnly="1" fieldPosition="0">
        <references count="2">
          <reference field="1" count="1" selected="0">
            <x v="3"/>
          </reference>
          <reference field="2" count="1">
            <x v="5"/>
          </reference>
        </references>
      </pivotArea>
    </format>
    <format dxfId="12">
      <pivotArea collapsedLevelsAreSubtotals="1" fieldPosition="0">
        <references count="2">
          <reference field="1" count="1" selected="0">
            <x v="3"/>
          </reference>
          <reference field="2" count="1">
            <x v="6"/>
          </reference>
        </references>
      </pivotArea>
    </format>
    <format dxfId="11">
      <pivotArea dataOnly="0" labelOnly="1" fieldPosition="0">
        <references count="2">
          <reference field="1" count="1" selected="0">
            <x v="3"/>
          </reference>
          <reference field="2" count="1">
            <x v="6"/>
          </reference>
        </references>
      </pivotArea>
    </format>
    <format dxfId="10">
      <pivotArea collapsedLevelsAreSubtotals="1" fieldPosition="0">
        <references count="2">
          <reference field="1" count="1" selected="0">
            <x v="3"/>
          </reference>
          <reference field="2" count="1">
            <x v="7"/>
          </reference>
        </references>
      </pivotArea>
    </format>
    <format dxfId="9">
      <pivotArea dataOnly="0" labelOnly="1" fieldPosition="0">
        <references count="2">
          <reference field="1" count="1" selected="0">
            <x v="3"/>
          </reference>
          <reference field="2" count="1">
            <x v="7"/>
          </reference>
        </references>
      </pivotArea>
    </format>
    <format dxfId="8">
      <pivotArea collapsedLevelsAreSubtotals="1" fieldPosition="0">
        <references count="2">
          <reference field="1" count="1" selected="0">
            <x v="3"/>
          </reference>
          <reference field="2" count="1">
            <x v="8"/>
          </reference>
        </references>
      </pivotArea>
    </format>
    <format dxfId="7">
      <pivotArea dataOnly="0" labelOnly="1" fieldPosition="0">
        <references count="2">
          <reference field="1" count="1" selected="0">
            <x v="3"/>
          </reference>
          <reference field="2" count="1">
            <x v="8"/>
          </reference>
        </references>
      </pivotArea>
    </format>
    <format dxfId="6">
      <pivotArea dataOnly="0" labelOnly="1" fieldPosition="0">
        <references count="2">
          <reference field="1" count="1" selected="0">
            <x v="0"/>
          </reference>
          <reference field="2" count="1">
            <x v="1"/>
          </reference>
        </references>
      </pivotArea>
    </format>
    <format dxfId="5">
      <pivotArea outline="0" collapsedLevelsAreSubtotals="1" fieldPosition="0"/>
    </format>
    <format dxfId="4">
      <pivotArea collapsedLevelsAreSubtotals="1" fieldPosition="0">
        <references count="1">
          <reference field="1" count="1">
            <x v="0"/>
          </reference>
        </references>
      </pivotArea>
    </format>
    <format dxfId="3">
      <pivotArea collapsedLevelsAreSubtotals="1" fieldPosition="0">
        <references count="1">
          <reference field="1" count="1">
            <x v="1"/>
          </reference>
        </references>
      </pivotArea>
    </format>
    <format dxfId="2">
      <pivotArea collapsedLevelsAreSubtotals="1" fieldPosition="0">
        <references count="1">
          <reference field="1" count="1">
            <x v="2"/>
          </reference>
        </references>
      </pivotArea>
    </format>
    <format dxfId="1">
      <pivotArea collapsedLevelsAreSubtotals="1" fieldPosition="0">
        <references count="1">
          <reference field="1" count="1">
            <x v="3"/>
          </reference>
        </references>
      </pivotArea>
    </format>
    <format dxfId="0">
      <pivotArea dataOnly="0" labelOnly="1" outline="0" axis="axisValues"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7BB493-0A13-4382-96F1-046C04A2CF65}" sourceName="Year">
  <pivotTables>
    <pivotTable tabId="30" name="PivotTable1"/>
    <pivotTable tabId="30" name="PivotTable2"/>
    <pivotTable tabId="30" name="PivotTable3"/>
    <pivotTable tabId="30" name="PivotTable4"/>
  </pivotTables>
  <data>
    <tabular pivotCacheId="2038046614">
      <items count="6">
        <i x="4" s="1"/>
        <i x="3" s="1"/>
        <i x="2" s="1"/>
        <i x="1" s="1"/>
        <i x="0" s="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11" xr10:uid="{044966CA-19FB-4EDC-880C-30FB7A1B8B70}" sourceName="Date">
  <pivotTables>
    <pivotTable tabId="34" name="PivotTable2"/>
  </pivotTables>
  <data>
    <tabular pivotCacheId="169791777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s1" xr10:uid="{B8B5A82E-3D17-4A9A-99DF-D4EC8FB3326B}" sourceName="Accounts">
  <pivotTables>
    <pivotTable tabId="34" name="PivotTable2"/>
  </pivotTables>
  <data>
    <tabular pivotCacheId="1697917773">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D985FA0-DAAC-40F5-9579-2AF7549BAB74}" cache="Slicer_Year" caption="Year" style="SlicerStyleLight1 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2" xr10:uid="{FEA09773-5F04-453F-B111-C5C03B321777}" cache="Slicer_Date11" caption="Date" style="SlicerStyleLight1 2" rowHeight="234950"/>
  <slicer name="Accounts 1" xr10:uid="{16BE28A5-1B68-4655-8656-2AE5972273DC}" cache="Slicer_Accounts1" caption="Accounts" style="SlicerStyleLight1 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8E7A9-D4C4-4D15-9D7C-C8395C607DDD}">
  <sheetPr>
    <tabColor rgb="FF92D050"/>
  </sheetPr>
  <dimension ref="A1:U160"/>
  <sheetViews>
    <sheetView zoomScaleNormal="100" workbookViewId="0">
      <selection activeCell="D152" sqref="D152:D160"/>
    </sheetView>
  </sheetViews>
  <sheetFormatPr defaultRowHeight="14.4" x14ac:dyDescent="0.3"/>
  <cols>
    <col min="2" max="2" width="20.21875" customWidth="1"/>
    <col min="3" max="3" width="14.33203125" bestFit="1" customWidth="1"/>
    <col min="4" max="4" width="13.21875" bestFit="1" customWidth="1"/>
    <col min="5" max="5" width="13.21875" customWidth="1"/>
    <col min="6" max="6" width="10.6640625" bestFit="1" customWidth="1"/>
    <col min="7" max="7" width="7.77734375" bestFit="1" customWidth="1"/>
    <col min="8" max="8" width="9" customWidth="1"/>
    <col min="9" max="9" width="12.77734375" bestFit="1" customWidth="1"/>
    <col min="11" max="11" width="30.109375" bestFit="1" customWidth="1"/>
    <col min="12" max="12" width="15.77734375" bestFit="1" customWidth="1"/>
    <col min="13" max="16" width="12.5546875" customWidth="1"/>
    <col min="17" max="17" width="7.109375" bestFit="1" customWidth="1"/>
    <col min="18" max="18" width="11" bestFit="1" customWidth="1"/>
    <col min="19" max="22" width="17.44140625" bestFit="1" customWidth="1"/>
    <col min="23" max="23" width="21.6640625" bestFit="1" customWidth="1"/>
    <col min="24" max="24" width="22.21875" bestFit="1" customWidth="1"/>
  </cols>
  <sheetData>
    <row r="1" spans="1:18" x14ac:dyDescent="0.3">
      <c r="A1" t="s">
        <v>0</v>
      </c>
      <c r="B1" t="s">
        <v>30</v>
      </c>
      <c r="C1" t="s">
        <v>46</v>
      </c>
      <c r="D1" t="s">
        <v>47</v>
      </c>
      <c r="E1" s="14" t="s">
        <v>31</v>
      </c>
      <c r="F1" s="8" t="s">
        <v>32</v>
      </c>
      <c r="G1" s="8" t="s">
        <v>33</v>
      </c>
      <c r="H1" s="8" t="s">
        <v>3</v>
      </c>
      <c r="I1" t="s">
        <v>34</v>
      </c>
      <c r="L1" s="4" t="s">
        <v>8</v>
      </c>
    </row>
    <row r="2" spans="1:18" x14ac:dyDescent="0.3">
      <c r="A2">
        <v>2025</v>
      </c>
      <c r="B2" t="s">
        <v>13</v>
      </c>
      <c r="C2">
        <v>4</v>
      </c>
      <c r="D2">
        <v>18.3</v>
      </c>
      <c r="E2" s="6">
        <f>D2*1000000</f>
        <v>18300000</v>
      </c>
      <c r="F2" s="12">
        <v>0.93</v>
      </c>
      <c r="G2" s="12">
        <v>0.9</v>
      </c>
      <c r="H2" s="12">
        <v>0.9</v>
      </c>
      <c r="I2" t="s">
        <v>35</v>
      </c>
      <c r="L2">
        <v>2021</v>
      </c>
      <c r="M2">
        <v>2022</v>
      </c>
      <c r="N2">
        <v>2023</v>
      </c>
      <c r="O2">
        <v>2024</v>
      </c>
      <c r="P2">
        <v>2025</v>
      </c>
      <c r="Q2" t="s">
        <v>52</v>
      </c>
      <c r="R2" t="s">
        <v>7</v>
      </c>
    </row>
    <row r="3" spans="1:18" x14ac:dyDescent="0.3">
      <c r="A3">
        <v>2025</v>
      </c>
      <c r="B3" t="s">
        <v>12</v>
      </c>
      <c r="C3">
        <v>3</v>
      </c>
      <c r="D3">
        <v>15</v>
      </c>
      <c r="E3" s="6">
        <f t="shared" ref="E3:E46" si="0">D3*1000000</f>
        <v>15000000</v>
      </c>
      <c r="F3" s="12">
        <v>0.93</v>
      </c>
      <c r="G3" s="12">
        <v>0.92</v>
      </c>
      <c r="H3" s="12">
        <v>0.92</v>
      </c>
      <c r="I3" t="s">
        <v>36</v>
      </c>
      <c r="K3" t="s">
        <v>48</v>
      </c>
      <c r="L3" s="7">
        <v>52700000</v>
      </c>
      <c r="M3" s="7">
        <v>160400000</v>
      </c>
      <c r="N3" s="7">
        <v>181700000</v>
      </c>
      <c r="O3" s="7">
        <v>197100000</v>
      </c>
      <c r="P3" s="7">
        <v>58300000</v>
      </c>
      <c r="Q3" s="7"/>
      <c r="R3" s="7">
        <v>650200000</v>
      </c>
    </row>
    <row r="4" spans="1:18" x14ac:dyDescent="0.3">
      <c r="A4">
        <v>2025</v>
      </c>
      <c r="B4" t="s">
        <v>11</v>
      </c>
      <c r="C4">
        <v>2</v>
      </c>
      <c r="D4">
        <v>12.6</v>
      </c>
      <c r="E4" s="6">
        <f t="shared" si="0"/>
        <v>12600000</v>
      </c>
      <c r="F4" s="12">
        <v>0.92</v>
      </c>
      <c r="G4" s="12">
        <v>0.91</v>
      </c>
      <c r="H4" s="12">
        <v>0.89</v>
      </c>
      <c r="I4" t="s">
        <v>36</v>
      </c>
    </row>
    <row r="5" spans="1:18" x14ac:dyDescent="0.3">
      <c r="A5">
        <v>2025</v>
      </c>
      <c r="B5" t="s">
        <v>10</v>
      </c>
      <c r="C5">
        <v>1</v>
      </c>
      <c r="D5">
        <v>12.4</v>
      </c>
      <c r="E5" s="6">
        <f t="shared" si="0"/>
        <v>12400000</v>
      </c>
      <c r="F5" s="12">
        <v>0.91</v>
      </c>
      <c r="G5" s="12">
        <v>0.85</v>
      </c>
      <c r="H5" s="12">
        <v>0.86</v>
      </c>
      <c r="I5" t="s">
        <v>35</v>
      </c>
    </row>
    <row r="6" spans="1:18" x14ac:dyDescent="0.3">
      <c r="A6">
        <v>2024</v>
      </c>
      <c r="B6" t="s">
        <v>19</v>
      </c>
      <c r="C6">
        <v>12</v>
      </c>
      <c r="D6">
        <v>13.6</v>
      </c>
      <c r="E6" s="6">
        <f t="shared" si="0"/>
        <v>13600000</v>
      </c>
      <c r="F6" s="12">
        <v>0.92</v>
      </c>
      <c r="G6" s="12">
        <v>0.84</v>
      </c>
      <c r="H6" s="12">
        <v>0.85</v>
      </c>
      <c r="I6" t="s">
        <v>35</v>
      </c>
    </row>
    <row r="7" spans="1:18" x14ac:dyDescent="0.3">
      <c r="A7">
        <v>2024</v>
      </c>
      <c r="B7" t="s">
        <v>18</v>
      </c>
      <c r="C7">
        <v>11</v>
      </c>
      <c r="D7">
        <v>13</v>
      </c>
      <c r="E7" s="6">
        <f t="shared" si="0"/>
        <v>13000000</v>
      </c>
      <c r="F7" s="12">
        <v>0.92</v>
      </c>
      <c r="G7" s="12">
        <v>0.9</v>
      </c>
      <c r="H7" s="12">
        <v>0.87</v>
      </c>
      <c r="I7" t="s">
        <v>35</v>
      </c>
      <c r="L7" s="4" t="s">
        <v>8</v>
      </c>
    </row>
    <row r="8" spans="1:18" x14ac:dyDescent="0.3">
      <c r="A8">
        <v>2024</v>
      </c>
      <c r="B8" t="s">
        <v>17</v>
      </c>
      <c r="C8">
        <v>10</v>
      </c>
      <c r="D8">
        <v>18.3</v>
      </c>
      <c r="E8" s="6">
        <f t="shared" si="0"/>
        <v>18300000</v>
      </c>
      <c r="F8" s="12">
        <v>0.93</v>
      </c>
      <c r="G8" s="12">
        <v>0.87</v>
      </c>
      <c r="H8" s="12">
        <v>0.85</v>
      </c>
      <c r="I8" t="s">
        <v>35</v>
      </c>
      <c r="L8">
        <v>2021</v>
      </c>
      <c r="M8">
        <v>2022</v>
      </c>
      <c r="N8">
        <v>2023</v>
      </c>
      <c r="O8">
        <v>2024</v>
      </c>
      <c r="P8">
        <v>2025</v>
      </c>
      <c r="Q8" t="s">
        <v>52</v>
      </c>
      <c r="R8" t="s">
        <v>7</v>
      </c>
    </row>
    <row r="9" spans="1:18" x14ac:dyDescent="0.3">
      <c r="A9">
        <v>2024</v>
      </c>
      <c r="B9" t="s">
        <v>16</v>
      </c>
      <c r="C9">
        <v>9</v>
      </c>
      <c r="D9">
        <v>19.100000000000001</v>
      </c>
      <c r="E9" s="6">
        <f t="shared" si="0"/>
        <v>19100000</v>
      </c>
      <c r="F9" s="12">
        <v>0.94</v>
      </c>
      <c r="G9" s="12">
        <v>0.85</v>
      </c>
      <c r="H9" s="12">
        <v>0.85</v>
      </c>
      <c r="I9" t="s">
        <v>35</v>
      </c>
      <c r="K9" t="s">
        <v>49</v>
      </c>
      <c r="L9" s="12">
        <v>0.82799999999999996</v>
      </c>
      <c r="M9" s="12">
        <v>0.91166666666666651</v>
      </c>
      <c r="N9" s="12">
        <v>0.93416666666666659</v>
      </c>
      <c r="O9" s="12">
        <v>0.93250000000000011</v>
      </c>
      <c r="P9" s="12">
        <v>0.9225000000000001</v>
      </c>
      <c r="Q9" s="12"/>
      <c r="R9" s="12">
        <v>0.9148888888888892</v>
      </c>
    </row>
    <row r="10" spans="1:18" x14ac:dyDescent="0.3">
      <c r="A10">
        <v>2024</v>
      </c>
      <c r="B10" t="s">
        <v>15</v>
      </c>
      <c r="C10">
        <v>8</v>
      </c>
      <c r="D10">
        <v>20.5</v>
      </c>
      <c r="E10" s="6">
        <f t="shared" si="0"/>
        <v>20500000</v>
      </c>
      <c r="F10" s="12">
        <v>0.96</v>
      </c>
      <c r="G10" s="12">
        <v>0.86</v>
      </c>
      <c r="H10" s="12">
        <v>0.85</v>
      </c>
      <c r="I10" t="s">
        <v>36</v>
      </c>
    </row>
    <row r="11" spans="1:18" x14ac:dyDescent="0.3">
      <c r="A11">
        <v>2024</v>
      </c>
      <c r="B11" t="s">
        <v>14</v>
      </c>
      <c r="C11">
        <v>7</v>
      </c>
      <c r="D11">
        <v>20.2</v>
      </c>
      <c r="E11" s="6">
        <f t="shared" si="0"/>
        <v>20200000</v>
      </c>
      <c r="F11" s="12">
        <v>0.96</v>
      </c>
      <c r="G11" s="12">
        <v>0.85</v>
      </c>
      <c r="H11" s="12">
        <v>0.83</v>
      </c>
      <c r="I11" t="s">
        <v>36</v>
      </c>
    </row>
    <row r="12" spans="1:18" x14ac:dyDescent="0.3">
      <c r="A12">
        <v>2024</v>
      </c>
      <c r="B12" t="s">
        <v>9</v>
      </c>
      <c r="C12">
        <v>6</v>
      </c>
      <c r="D12">
        <v>19.3</v>
      </c>
      <c r="E12" s="6">
        <f t="shared" si="0"/>
        <v>19300000</v>
      </c>
      <c r="F12" s="12">
        <v>0.95</v>
      </c>
      <c r="G12" s="12">
        <v>0.87</v>
      </c>
      <c r="H12" s="12">
        <v>0.84</v>
      </c>
      <c r="I12" t="s">
        <v>35</v>
      </c>
    </row>
    <row r="13" spans="1:18" x14ac:dyDescent="0.3">
      <c r="A13">
        <v>2024</v>
      </c>
      <c r="B13" t="s">
        <v>4</v>
      </c>
      <c r="C13">
        <v>5</v>
      </c>
      <c r="D13">
        <v>18.899999999999999</v>
      </c>
      <c r="E13" s="6">
        <f t="shared" si="0"/>
        <v>18900000</v>
      </c>
      <c r="F13" s="12">
        <v>0.95</v>
      </c>
      <c r="G13" s="12">
        <v>0.88</v>
      </c>
      <c r="H13" s="12">
        <v>0.86</v>
      </c>
      <c r="I13" t="s">
        <v>35</v>
      </c>
    </row>
    <row r="14" spans="1:18" x14ac:dyDescent="0.3">
      <c r="A14">
        <v>2024</v>
      </c>
      <c r="B14" t="s">
        <v>13</v>
      </c>
      <c r="C14">
        <v>4</v>
      </c>
      <c r="D14">
        <v>17.3</v>
      </c>
      <c r="E14" s="6">
        <f t="shared" si="0"/>
        <v>17300000</v>
      </c>
      <c r="F14" s="12">
        <v>0.92</v>
      </c>
      <c r="G14" s="12">
        <v>0.88</v>
      </c>
      <c r="H14" s="12">
        <v>0.88</v>
      </c>
      <c r="I14" t="s">
        <v>35</v>
      </c>
      <c r="L14" s="4" t="s">
        <v>8</v>
      </c>
    </row>
    <row r="15" spans="1:18" x14ac:dyDescent="0.3">
      <c r="A15">
        <v>2024</v>
      </c>
      <c r="B15" t="s">
        <v>12</v>
      </c>
      <c r="C15">
        <v>3</v>
      </c>
      <c r="D15">
        <v>13.6</v>
      </c>
      <c r="E15" s="6">
        <f t="shared" si="0"/>
        <v>13600000</v>
      </c>
      <c r="F15" s="12">
        <v>0.93</v>
      </c>
      <c r="G15" s="12">
        <v>0.91</v>
      </c>
      <c r="H15" s="12">
        <v>0.88</v>
      </c>
      <c r="I15" t="s">
        <v>35</v>
      </c>
      <c r="L15">
        <v>2021</v>
      </c>
      <c r="M15">
        <v>2022</v>
      </c>
      <c r="N15">
        <v>2023</v>
      </c>
      <c r="O15">
        <v>2024</v>
      </c>
      <c r="P15">
        <v>2025</v>
      </c>
      <c r="Q15" t="s">
        <v>52</v>
      </c>
      <c r="R15" t="s">
        <v>7</v>
      </c>
    </row>
    <row r="16" spans="1:18" x14ac:dyDescent="0.3">
      <c r="A16">
        <v>2024</v>
      </c>
      <c r="B16" t="s">
        <v>11</v>
      </c>
      <c r="C16">
        <v>2</v>
      </c>
      <c r="D16">
        <v>11.1</v>
      </c>
      <c r="E16" s="6">
        <f t="shared" si="0"/>
        <v>11100000</v>
      </c>
      <c r="F16" s="12">
        <v>0.92</v>
      </c>
      <c r="G16" s="12">
        <v>0.92</v>
      </c>
      <c r="H16" s="12">
        <v>0.89</v>
      </c>
      <c r="I16" t="s">
        <v>36</v>
      </c>
      <c r="K16" s="12" t="s">
        <v>50</v>
      </c>
      <c r="L16" s="12">
        <v>0.9</v>
      </c>
      <c r="M16" s="12">
        <v>0.84750000000000003</v>
      </c>
      <c r="N16" s="12">
        <v>0.86416666666666675</v>
      </c>
      <c r="O16" s="12">
        <v>0.87499999999999989</v>
      </c>
      <c r="P16" s="12">
        <v>0.89500000000000002</v>
      </c>
      <c r="Q16" s="12"/>
      <c r="R16" s="12">
        <v>0.86933333333333329</v>
      </c>
    </row>
    <row r="17" spans="1:18" x14ac:dyDescent="0.3">
      <c r="A17">
        <v>2024</v>
      </c>
      <c r="B17" t="s">
        <v>10</v>
      </c>
      <c r="C17">
        <v>1</v>
      </c>
      <c r="D17">
        <v>12.2</v>
      </c>
      <c r="E17" s="6">
        <f t="shared" si="0"/>
        <v>12200000</v>
      </c>
      <c r="F17" s="12">
        <v>0.89</v>
      </c>
      <c r="G17" s="12">
        <v>0.87</v>
      </c>
      <c r="H17" s="12">
        <v>0.88</v>
      </c>
      <c r="I17" t="s">
        <v>37</v>
      </c>
    </row>
    <row r="18" spans="1:18" x14ac:dyDescent="0.3">
      <c r="A18">
        <v>2023</v>
      </c>
      <c r="B18" t="s">
        <v>19</v>
      </c>
      <c r="C18">
        <v>12</v>
      </c>
      <c r="D18">
        <v>12.5</v>
      </c>
      <c r="E18" s="6">
        <f t="shared" si="0"/>
        <v>12500000</v>
      </c>
      <c r="F18" s="12">
        <v>0.91</v>
      </c>
      <c r="G18" s="12">
        <v>0.83</v>
      </c>
      <c r="H18" s="12">
        <v>0.85</v>
      </c>
      <c r="I18" t="s">
        <v>37</v>
      </c>
    </row>
    <row r="19" spans="1:18" x14ac:dyDescent="0.3">
      <c r="A19">
        <v>2023</v>
      </c>
      <c r="B19" t="s">
        <v>18</v>
      </c>
      <c r="C19">
        <v>11</v>
      </c>
      <c r="D19">
        <v>11.7</v>
      </c>
      <c r="E19" s="6">
        <f t="shared" si="0"/>
        <v>11700000</v>
      </c>
      <c r="F19" s="12">
        <v>0.92</v>
      </c>
      <c r="G19" s="12">
        <v>0.89</v>
      </c>
      <c r="H19" s="12">
        <v>0.87</v>
      </c>
      <c r="I19" t="s">
        <v>38</v>
      </c>
    </row>
    <row r="20" spans="1:18" x14ac:dyDescent="0.3">
      <c r="A20">
        <v>2023</v>
      </c>
      <c r="B20" t="s">
        <v>17</v>
      </c>
      <c r="C20">
        <v>10</v>
      </c>
      <c r="D20">
        <v>17.100000000000001</v>
      </c>
      <c r="E20" s="6">
        <f t="shared" si="0"/>
        <v>17100000</v>
      </c>
      <c r="F20" s="12">
        <v>0.93</v>
      </c>
      <c r="G20" s="12">
        <v>0.86</v>
      </c>
      <c r="H20" s="12">
        <v>0.86</v>
      </c>
      <c r="I20" t="s">
        <v>38</v>
      </c>
      <c r="L20" s="4" t="s">
        <v>8</v>
      </c>
    </row>
    <row r="21" spans="1:18" x14ac:dyDescent="0.3">
      <c r="A21">
        <v>2023</v>
      </c>
      <c r="B21" t="s">
        <v>16</v>
      </c>
      <c r="C21">
        <v>9</v>
      </c>
      <c r="D21">
        <v>17.399999999999999</v>
      </c>
      <c r="E21" s="6">
        <f t="shared" si="0"/>
        <v>17400000</v>
      </c>
      <c r="F21" s="12">
        <v>0.94</v>
      </c>
      <c r="G21" s="12">
        <v>0.87</v>
      </c>
      <c r="H21" s="12">
        <v>0.85</v>
      </c>
      <c r="I21" t="s">
        <v>38</v>
      </c>
      <c r="L21">
        <v>2021</v>
      </c>
      <c r="M21">
        <v>2022</v>
      </c>
      <c r="N21">
        <v>2023</v>
      </c>
      <c r="O21">
        <v>2024</v>
      </c>
      <c r="P21">
        <v>2025</v>
      </c>
      <c r="Q21" t="s">
        <v>52</v>
      </c>
      <c r="R21" t="s">
        <v>7</v>
      </c>
    </row>
    <row r="22" spans="1:18" x14ac:dyDescent="0.3">
      <c r="A22">
        <v>2023</v>
      </c>
      <c r="B22" t="s">
        <v>15</v>
      </c>
      <c r="C22">
        <v>8</v>
      </c>
      <c r="D22">
        <v>18.899999999999999</v>
      </c>
      <c r="E22" s="6">
        <f t="shared" si="0"/>
        <v>18900000</v>
      </c>
      <c r="F22" s="12">
        <v>0.96</v>
      </c>
      <c r="G22" s="12">
        <v>0.86</v>
      </c>
      <c r="H22" s="12">
        <v>0.84</v>
      </c>
      <c r="I22" t="s">
        <v>35</v>
      </c>
      <c r="K22" t="s">
        <v>51</v>
      </c>
      <c r="L22" s="12">
        <v>0.89</v>
      </c>
      <c r="M22" s="12">
        <v>0.85416666666666663</v>
      </c>
      <c r="N22" s="12">
        <v>0.85916666666666686</v>
      </c>
      <c r="O22" s="12">
        <v>0.86083333333333345</v>
      </c>
      <c r="P22" s="12">
        <v>0.89249999999999996</v>
      </c>
      <c r="Q22" s="12"/>
      <c r="R22" s="12">
        <v>0.86466666666666692</v>
      </c>
    </row>
    <row r="23" spans="1:18" x14ac:dyDescent="0.3">
      <c r="A23">
        <v>2023</v>
      </c>
      <c r="B23" t="s">
        <v>14</v>
      </c>
      <c r="C23">
        <v>7</v>
      </c>
      <c r="D23">
        <v>18.7</v>
      </c>
      <c r="E23" s="6">
        <f t="shared" si="0"/>
        <v>18700000</v>
      </c>
      <c r="F23" s="12">
        <v>0.96</v>
      </c>
      <c r="G23" s="12">
        <v>0.84</v>
      </c>
      <c r="H23" s="12">
        <v>0.82</v>
      </c>
      <c r="I23" t="s">
        <v>35</v>
      </c>
    </row>
    <row r="24" spans="1:18" x14ac:dyDescent="0.3">
      <c r="A24">
        <v>2023</v>
      </c>
      <c r="B24" t="s">
        <v>9</v>
      </c>
      <c r="C24">
        <v>6</v>
      </c>
      <c r="D24">
        <v>17.399999999999999</v>
      </c>
      <c r="E24" s="6">
        <f t="shared" si="0"/>
        <v>17400000</v>
      </c>
      <c r="F24" s="12">
        <v>0.95</v>
      </c>
      <c r="G24" s="12">
        <v>0.86</v>
      </c>
      <c r="H24" s="12">
        <v>0.84</v>
      </c>
      <c r="I24" t="s">
        <v>38</v>
      </c>
    </row>
    <row r="25" spans="1:18" x14ac:dyDescent="0.3">
      <c r="A25">
        <v>2023</v>
      </c>
      <c r="B25" t="s">
        <v>4</v>
      </c>
      <c r="C25">
        <v>5</v>
      </c>
      <c r="D25">
        <v>17</v>
      </c>
      <c r="E25" s="6">
        <f t="shared" si="0"/>
        <v>17000000</v>
      </c>
      <c r="F25" s="12">
        <v>0.94</v>
      </c>
      <c r="G25" s="12">
        <v>0.88</v>
      </c>
      <c r="H25" s="12">
        <v>0.86</v>
      </c>
      <c r="I25" t="s">
        <v>38</v>
      </c>
      <c r="K25" s="4" t="s">
        <v>48</v>
      </c>
      <c r="L25" s="4" t="s">
        <v>8</v>
      </c>
    </row>
    <row r="26" spans="1:18" x14ac:dyDescent="0.3">
      <c r="A26">
        <v>2023</v>
      </c>
      <c r="B26" t="s">
        <v>13</v>
      </c>
      <c r="C26">
        <v>4</v>
      </c>
      <c r="D26">
        <v>16</v>
      </c>
      <c r="E26" s="6">
        <f t="shared" si="0"/>
        <v>16000000</v>
      </c>
      <c r="F26" s="12">
        <v>0.94</v>
      </c>
      <c r="G26" s="12">
        <v>0.86</v>
      </c>
      <c r="H26" s="12">
        <v>0.85</v>
      </c>
      <c r="I26" t="s">
        <v>38</v>
      </c>
      <c r="K26" s="4" t="s">
        <v>6</v>
      </c>
      <c r="L26">
        <v>2021</v>
      </c>
      <c r="M26">
        <v>2022</v>
      </c>
      <c r="N26">
        <v>2023</v>
      </c>
      <c r="O26">
        <v>2024</v>
      </c>
      <c r="P26">
        <v>2025</v>
      </c>
      <c r="Q26" t="s">
        <v>52</v>
      </c>
      <c r="R26" t="s">
        <v>7</v>
      </c>
    </row>
    <row r="27" spans="1:18" x14ac:dyDescent="0.3">
      <c r="A27">
        <v>2023</v>
      </c>
      <c r="B27" t="s">
        <v>12</v>
      </c>
      <c r="C27">
        <v>3</v>
      </c>
      <c r="D27">
        <v>12.6</v>
      </c>
      <c r="E27" s="6">
        <f t="shared" si="0"/>
        <v>12600000</v>
      </c>
      <c r="F27" s="12">
        <v>0.93</v>
      </c>
      <c r="G27" s="12">
        <v>0.87</v>
      </c>
      <c r="H27" s="12">
        <v>0.88</v>
      </c>
      <c r="I27" t="s">
        <v>38</v>
      </c>
      <c r="K27" s="5" t="s">
        <v>10</v>
      </c>
      <c r="L27" s="7"/>
      <c r="M27" s="7">
        <v>7000000</v>
      </c>
      <c r="N27" s="7">
        <v>11800000</v>
      </c>
      <c r="O27" s="7">
        <v>12200000</v>
      </c>
      <c r="P27" s="7">
        <v>12400000</v>
      </c>
      <c r="Q27" s="7"/>
      <c r="R27" s="7">
        <v>43400000</v>
      </c>
    </row>
    <row r="28" spans="1:18" x14ac:dyDescent="0.3">
      <c r="A28">
        <v>2023</v>
      </c>
      <c r="B28" t="s">
        <v>11</v>
      </c>
      <c r="C28">
        <v>2</v>
      </c>
      <c r="D28">
        <v>10.6</v>
      </c>
      <c r="E28" s="6">
        <f t="shared" si="0"/>
        <v>10600000</v>
      </c>
      <c r="F28" s="12">
        <v>0.92</v>
      </c>
      <c r="G28" s="12">
        <v>0.89</v>
      </c>
      <c r="H28" s="12">
        <v>0.9</v>
      </c>
      <c r="I28" t="s">
        <v>35</v>
      </c>
      <c r="K28" s="5" t="s">
        <v>11</v>
      </c>
      <c r="L28" s="7"/>
      <c r="M28" s="7">
        <v>8700000</v>
      </c>
      <c r="N28" s="7">
        <v>10600000</v>
      </c>
      <c r="O28" s="7">
        <v>11100000</v>
      </c>
      <c r="P28" s="7">
        <v>12600000</v>
      </c>
      <c r="Q28" s="7"/>
      <c r="R28" s="7">
        <v>43000000</v>
      </c>
    </row>
    <row r="29" spans="1:18" x14ac:dyDescent="0.3">
      <c r="A29">
        <v>2023</v>
      </c>
      <c r="B29" t="s">
        <v>10</v>
      </c>
      <c r="C29">
        <v>1</v>
      </c>
      <c r="D29">
        <v>11.8</v>
      </c>
      <c r="E29" s="6">
        <f t="shared" si="0"/>
        <v>11800000</v>
      </c>
      <c r="F29" s="12">
        <v>0.91</v>
      </c>
      <c r="G29" s="12">
        <v>0.86</v>
      </c>
      <c r="H29" s="12">
        <v>0.89</v>
      </c>
      <c r="I29" t="s">
        <v>38</v>
      </c>
      <c r="K29" s="5" t="s">
        <v>12</v>
      </c>
      <c r="L29" s="7"/>
      <c r="M29" s="7">
        <v>11200000</v>
      </c>
      <c r="N29" s="7">
        <v>12600000</v>
      </c>
      <c r="O29" s="7">
        <v>13600000</v>
      </c>
      <c r="P29" s="7">
        <v>15000000</v>
      </c>
      <c r="Q29" s="7"/>
      <c r="R29" s="7">
        <v>52400000</v>
      </c>
    </row>
    <row r="30" spans="1:18" x14ac:dyDescent="0.3">
      <c r="A30">
        <v>2022</v>
      </c>
      <c r="B30" t="s">
        <v>19</v>
      </c>
      <c r="C30">
        <v>12</v>
      </c>
      <c r="D30">
        <v>11.5</v>
      </c>
      <c r="E30" s="6">
        <f t="shared" si="0"/>
        <v>11500000</v>
      </c>
      <c r="F30" s="12">
        <v>0.92</v>
      </c>
      <c r="G30" s="12">
        <v>0.76</v>
      </c>
      <c r="H30" s="12">
        <v>0.87</v>
      </c>
      <c r="I30" t="s">
        <v>38</v>
      </c>
      <c r="K30" s="5" t="s">
        <v>13</v>
      </c>
      <c r="L30" s="7"/>
      <c r="M30" s="7">
        <v>14200000</v>
      </c>
      <c r="N30" s="7">
        <v>16000000</v>
      </c>
      <c r="O30" s="7">
        <v>17300000</v>
      </c>
      <c r="P30" s="7">
        <v>18300000</v>
      </c>
      <c r="Q30" s="7"/>
      <c r="R30" s="7">
        <v>65800000</v>
      </c>
    </row>
    <row r="31" spans="1:18" x14ac:dyDescent="0.3">
      <c r="A31">
        <v>2022</v>
      </c>
      <c r="B31" t="s">
        <v>18</v>
      </c>
      <c r="C31">
        <v>11</v>
      </c>
      <c r="D31">
        <v>11.2</v>
      </c>
      <c r="E31" s="6">
        <f t="shared" si="0"/>
        <v>11200000</v>
      </c>
      <c r="F31" s="12">
        <v>0.92</v>
      </c>
      <c r="G31" s="12">
        <v>0.87</v>
      </c>
      <c r="H31" s="12">
        <v>0.88</v>
      </c>
      <c r="I31" t="s">
        <v>38</v>
      </c>
      <c r="K31" s="5" t="s">
        <v>4</v>
      </c>
      <c r="L31" s="7"/>
      <c r="M31" s="7">
        <v>15400000</v>
      </c>
      <c r="N31" s="7">
        <v>17000000</v>
      </c>
      <c r="O31" s="7">
        <v>18900000</v>
      </c>
      <c r="P31" s="7"/>
      <c r="Q31" s="7"/>
      <c r="R31" s="7">
        <v>51300000</v>
      </c>
    </row>
    <row r="32" spans="1:18" x14ac:dyDescent="0.3">
      <c r="A32">
        <v>2022</v>
      </c>
      <c r="B32" t="s">
        <v>17</v>
      </c>
      <c r="C32">
        <v>10</v>
      </c>
      <c r="D32">
        <v>15.7</v>
      </c>
      <c r="E32" s="6">
        <f t="shared" si="0"/>
        <v>15700000</v>
      </c>
      <c r="F32" s="12">
        <v>0.94</v>
      </c>
      <c r="G32" s="12">
        <v>0.82</v>
      </c>
      <c r="H32" s="12">
        <v>0.83</v>
      </c>
      <c r="I32" t="s">
        <v>38</v>
      </c>
      <c r="K32" s="5" t="s">
        <v>9</v>
      </c>
      <c r="L32" s="7"/>
      <c r="M32" s="7">
        <v>15900000</v>
      </c>
      <c r="N32" s="7">
        <v>17400000</v>
      </c>
      <c r="O32" s="7">
        <v>19300000</v>
      </c>
      <c r="P32" s="7"/>
      <c r="Q32" s="7"/>
      <c r="R32" s="7">
        <v>52600000</v>
      </c>
    </row>
    <row r="33" spans="1:21" x14ac:dyDescent="0.3">
      <c r="A33">
        <v>2022</v>
      </c>
      <c r="B33" t="s">
        <v>16</v>
      </c>
      <c r="C33">
        <v>9</v>
      </c>
      <c r="D33">
        <v>15.9</v>
      </c>
      <c r="E33" s="6">
        <f t="shared" si="0"/>
        <v>15900000</v>
      </c>
      <c r="F33" s="12">
        <v>0.94</v>
      </c>
      <c r="G33" s="12">
        <v>0.81</v>
      </c>
      <c r="H33" s="12">
        <v>0.82</v>
      </c>
      <c r="I33" t="s">
        <v>38</v>
      </c>
      <c r="K33" s="5" t="s">
        <v>14</v>
      </c>
      <c r="L33" s="7"/>
      <c r="M33" s="7">
        <v>16800000</v>
      </c>
      <c r="N33" s="7">
        <v>18700000</v>
      </c>
      <c r="O33" s="7">
        <v>20200000</v>
      </c>
      <c r="P33" s="7"/>
      <c r="Q33" s="7"/>
      <c r="R33" s="7">
        <v>55700000</v>
      </c>
    </row>
    <row r="34" spans="1:21" x14ac:dyDescent="0.3">
      <c r="A34">
        <v>2022</v>
      </c>
      <c r="B34" t="s">
        <v>15</v>
      </c>
      <c r="C34">
        <v>8</v>
      </c>
      <c r="D34">
        <v>16.899999999999999</v>
      </c>
      <c r="E34" s="6">
        <f t="shared" si="0"/>
        <v>16900000</v>
      </c>
      <c r="F34" s="12">
        <v>0.96</v>
      </c>
      <c r="G34" s="12">
        <v>0.82</v>
      </c>
      <c r="H34" s="12">
        <v>0.82</v>
      </c>
      <c r="I34" t="s">
        <v>35</v>
      </c>
      <c r="K34" s="5" t="s">
        <v>15</v>
      </c>
      <c r="L34" s="7">
        <v>11100000</v>
      </c>
      <c r="M34" s="7">
        <v>16900000</v>
      </c>
      <c r="N34" s="7">
        <v>18900000</v>
      </c>
      <c r="O34" s="7">
        <v>20500000</v>
      </c>
      <c r="P34" s="7"/>
      <c r="Q34" s="7"/>
      <c r="R34" s="7">
        <v>67400000</v>
      </c>
    </row>
    <row r="35" spans="1:21" x14ac:dyDescent="0.3">
      <c r="A35">
        <v>2022</v>
      </c>
      <c r="B35" t="s">
        <v>14</v>
      </c>
      <c r="C35">
        <v>7</v>
      </c>
      <c r="D35">
        <v>16.8</v>
      </c>
      <c r="E35" s="6">
        <f t="shared" si="0"/>
        <v>16800000</v>
      </c>
      <c r="F35" s="12">
        <v>0.96</v>
      </c>
      <c r="G35" s="12">
        <v>0.79</v>
      </c>
      <c r="H35" s="12">
        <v>0.81</v>
      </c>
      <c r="I35" t="s">
        <v>35</v>
      </c>
      <c r="K35" s="5" t="s">
        <v>16</v>
      </c>
      <c r="L35" s="7">
        <v>10600000</v>
      </c>
      <c r="M35" s="7">
        <v>15900000</v>
      </c>
      <c r="N35" s="7">
        <v>17400000</v>
      </c>
      <c r="O35" s="7">
        <v>19100000</v>
      </c>
      <c r="P35" s="7"/>
      <c r="Q35" s="7"/>
      <c r="R35" s="7">
        <v>63000000</v>
      </c>
    </row>
    <row r="36" spans="1:21" x14ac:dyDescent="0.3">
      <c r="A36">
        <v>2022</v>
      </c>
      <c r="B36" t="s">
        <v>9</v>
      </c>
      <c r="C36">
        <v>6</v>
      </c>
      <c r="D36">
        <v>15.9</v>
      </c>
      <c r="E36" s="6">
        <f t="shared" si="0"/>
        <v>15900000</v>
      </c>
      <c r="F36" s="12">
        <v>0.95</v>
      </c>
      <c r="G36" s="12">
        <v>0.81</v>
      </c>
      <c r="H36" s="12">
        <v>0.79</v>
      </c>
      <c r="I36" t="s">
        <v>35</v>
      </c>
      <c r="K36" s="5" t="s">
        <v>17</v>
      </c>
      <c r="L36" s="7">
        <v>11300000</v>
      </c>
      <c r="M36" s="7">
        <v>15700000</v>
      </c>
      <c r="N36" s="7">
        <v>17100000</v>
      </c>
      <c r="O36" s="7">
        <v>18300000</v>
      </c>
      <c r="P36" s="7"/>
      <c r="Q36" s="7"/>
      <c r="R36" s="7">
        <v>62400000</v>
      </c>
    </row>
    <row r="37" spans="1:21" x14ac:dyDescent="0.3">
      <c r="A37">
        <v>2022</v>
      </c>
      <c r="B37" t="s">
        <v>4</v>
      </c>
      <c r="C37">
        <v>5</v>
      </c>
      <c r="D37">
        <v>15.4</v>
      </c>
      <c r="E37" s="6">
        <f t="shared" si="0"/>
        <v>15400000</v>
      </c>
      <c r="F37" s="12">
        <v>0.92</v>
      </c>
      <c r="G37" s="12">
        <v>0.86</v>
      </c>
      <c r="H37" s="12">
        <v>0.86</v>
      </c>
      <c r="I37" t="s">
        <v>38</v>
      </c>
      <c r="K37" s="5" t="s">
        <v>18</v>
      </c>
      <c r="L37" s="7">
        <v>10200000</v>
      </c>
      <c r="M37" s="7">
        <v>11200000</v>
      </c>
      <c r="N37" s="7">
        <v>11700000</v>
      </c>
      <c r="O37" s="7">
        <v>13000000</v>
      </c>
      <c r="P37" s="7"/>
      <c r="Q37" s="7"/>
      <c r="R37" s="7">
        <v>46100000</v>
      </c>
    </row>
    <row r="38" spans="1:21" x14ac:dyDescent="0.3">
      <c r="A38">
        <v>2022</v>
      </c>
      <c r="B38" t="s">
        <v>13</v>
      </c>
      <c r="C38">
        <v>4</v>
      </c>
      <c r="D38">
        <v>14.2</v>
      </c>
      <c r="E38" s="6">
        <f t="shared" si="0"/>
        <v>14200000</v>
      </c>
      <c r="F38" s="12">
        <v>0.91</v>
      </c>
      <c r="G38" s="12">
        <v>0.85</v>
      </c>
      <c r="H38" s="12">
        <v>0.85</v>
      </c>
      <c r="I38" t="s">
        <v>37</v>
      </c>
      <c r="K38" s="5" t="s">
        <v>19</v>
      </c>
      <c r="L38" s="7">
        <v>9500000</v>
      </c>
      <c r="M38" s="7">
        <v>11500000</v>
      </c>
      <c r="N38" s="7">
        <v>12500000</v>
      </c>
      <c r="O38" s="7">
        <v>13600000</v>
      </c>
      <c r="P38" s="7"/>
      <c r="Q38" s="7"/>
      <c r="R38" s="7">
        <v>47100000</v>
      </c>
    </row>
    <row r="39" spans="1:21" x14ac:dyDescent="0.3">
      <c r="A39">
        <v>2022</v>
      </c>
      <c r="B39" t="s">
        <v>12</v>
      </c>
      <c r="C39">
        <v>3</v>
      </c>
      <c r="D39">
        <v>11.2</v>
      </c>
      <c r="E39" s="6">
        <f t="shared" si="0"/>
        <v>11200000</v>
      </c>
      <c r="F39" s="12">
        <v>0.87</v>
      </c>
      <c r="G39" s="12">
        <v>0.92</v>
      </c>
      <c r="H39" s="12">
        <v>0.91</v>
      </c>
      <c r="I39" t="s">
        <v>39</v>
      </c>
      <c r="K39" s="5" t="s">
        <v>52</v>
      </c>
      <c r="L39" s="7"/>
      <c r="M39" s="7"/>
      <c r="N39" s="7"/>
      <c r="O39" s="7"/>
      <c r="P39" s="7"/>
      <c r="Q39" s="7"/>
      <c r="R39" s="7"/>
    </row>
    <row r="40" spans="1:21" x14ac:dyDescent="0.3">
      <c r="A40">
        <v>2022</v>
      </c>
      <c r="B40" t="s">
        <v>11</v>
      </c>
      <c r="C40">
        <v>2</v>
      </c>
      <c r="D40">
        <v>8.6999999999999993</v>
      </c>
      <c r="E40" s="6">
        <f t="shared" si="0"/>
        <v>8700000</v>
      </c>
      <c r="F40" s="12">
        <v>0.86</v>
      </c>
      <c r="G40" s="12">
        <v>0.93</v>
      </c>
      <c r="H40" s="12">
        <v>0.9</v>
      </c>
      <c r="I40" t="s">
        <v>40</v>
      </c>
      <c r="K40" s="5" t="s">
        <v>7</v>
      </c>
      <c r="L40" s="7">
        <v>52700000</v>
      </c>
      <c r="M40" s="7">
        <v>160400000</v>
      </c>
      <c r="N40" s="7">
        <v>181700000</v>
      </c>
      <c r="O40" s="7">
        <v>197100000</v>
      </c>
      <c r="P40" s="7">
        <v>58300000</v>
      </c>
      <c r="Q40" s="7"/>
      <c r="R40" s="7">
        <v>650200000</v>
      </c>
    </row>
    <row r="41" spans="1:21" x14ac:dyDescent="0.3">
      <c r="A41">
        <v>2022</v>
      </c>
      <c r="B41" t="s">
        <v>10</v>
      </c>
      <c r="C41">
        <v>1</v>
      </c>
      <c r="D41">
        <v>7</v>
      </c>
      <c r="E41" s="6">
        <f t="shared" si="0"/>
        <v>7000000</v>
      </c>
      <c r="F41" s="12">
        <v>0.79</v>
      </c>
      <c r="G41" s="12">
        <v>0.93</v>
      </c>
      <c r="H41" s="12">
        <v>0.91</v>
      </c>
      <c r="I41" t="s">
        <v>41</v>
      </c>
    </row>
    <row r="42" spans="1:21" x14ac:dyDescent="0.3">
      <c r="A42">
        <v>2021</v>
      </c>
      <c r="B42" t="s">
        <v>19</v>
      </c>
      <c r="C42">
        <v>12</v>
      </c>
      <c r="D42">
        <v>9.5</v>
      </c>
      <c r="E42" s="6">
        <f t="shared" si="0"/>
        <v>9500000</v>
      </c>
      <c r="F42" s="12">
        <v>0.81</v>
      </c>
      <c r="G42" s="12">
        <v>0.89</v>
      </c>
      <c r="H42" s="12">
        <v>0.89</v>
      </c>
      <c r="I42" t="s">
        <v>42</v>
      </c>
    </row>
    <row r="43" spans="1:21" x14ac:dyDescent="0.3">
      <c r="A43">
        <v>2021</v>
      </c>
      <c r="B43" t="s">
        <v>18</v>
      </c>
      <c r="C43">
        <v>11</v>
      </c>
      <c r="D43">
        <v>10.199999999999999</v>
      </c>
      <c r="E43" s="6">
        <f t="shared" si="0"/>
        <v>10200000</v>
      </c>
      <c r="F43" s="12">
        <v>0.86</v>
      </c>
      <c r="G43" s="12">
        <v>0.92</v>
      </c>
      <c r="H43" s="12">
        <v>0.89</v>
      </c>
      <c r="I43" t="s">
        <v>43</v>
      </c>
    </row>
    <row r="44" spans="1:21" x14ac:dyDescent="0.3">
      <c r="A44">
        <v>2021</v>
      </c>
      <c r="B44" t="s">
        <v>17</v>
      </c>
      <c r="C44">
        <v>10</v>
      </c>
      <c r="D44">
        <v>11.3</v>
      </c>
      <c r="E44" s="6">
        <f t="shared" si="0"/>
        <v>11300000</v>
      </c>
      <c r="F44" s="12">
        <v>0.84</v>
      </c>
      <c r="G44" s="12">
        <v>0.9</v>
      </c>
      <c r="H44" s="12">
        <v>0.9</v>
      </c>
      <c r="I44" t="s">
        <v>44</v>
      </c>
    </row>
    <row r="45" spans="1:21" x14ac:dyDescent="0.3">
      <c r="A45">
        <v>2021</v>
      </c>
      <c r="B45" t="s">
        <v>16</v>
      </c>
      <c r="C45">
        <v>9</v>
      </c>
      <c r="D45">
        <v>10.6</v>
      </c>
      <c r="E45" s="6">
        <f t="shared" si="0"/>
        <v>10600000</v>
      </c>
      <c r="F45" s="12">
        <v>0.81</v>
      </c>
      <c r="G45" s="12">
        <v>0.9</v>
      </c>
      <c r="H45" s="12">
        <v>0.9</v>
      </c>
      <c r="I45" t="s">
        <v>45</v>
      </c>
    </row>
    <row r="46" spans="1:21" x14ac:dyDescent="0.3">
      <c r="A46">
        <v>2021</v>
      </c>
      <c r="B46" t="s">
        <v>15</v>
      </c>
      <c r="C46">
        <v>8</v>
      </c>
      <c r="D46">
        <v>11.1</v>
      </c>
      <c r="E46" s="6">
        <f t="shared" si="0"/>
        <v>11100000</v>
      </c>
      <c r="F46" s="12">
        <v>0.82</v>
      </c>
      <c r="G46" s="12">
        <v>0.89</v>
      </c>
      <c r="H46" s="12">
        <v>0.87</v>
      </c>
      <c r="I46" t="s">
        <v>42</v>
      </c>
      <c r="K46" s="4" t="s">
        <v>51</v>
      </c>
      <c r="L46" s="4" t="s">
        <v>8</v>
      </c>
    </row>
    <row r="47" spans="1:21" x14ac:dyDescent="0.3">
      <c r="K47" s="4" t="s">
        <v>6</v>
      </c>
      <c r="L47">
        <v>2021</v>
      </c>
      <c r="M47">
        <v>2022</v>
      </c>
      <c r="N47">
        <v>2023</v>
      </c>
      <c r="O47">
        <v>2024</v>
      </c>
      <c r="P47">
        <v>2025</v>
      </c>
      <c r="Q47" t="s">
        <v>52</v>
      </c>
      <c r="R47" t="s">
        <v>7</v>
      </c>
    </row>
    <row r="48" spans="1:21" x14ac:dyDescent="0.3">
      <c r="K48" s="5" t="s">
        <v>10</v>
      </c>
      <c r="L48" s="12"/>
      <c r="M48" s="12">
        <v>0.91</v>
      </c>
      <c r="N48" s="12">
        <v>0.89</v>
      </c>
      <c r="O48" s="12">
        <v>0.88</v>
      </c>
      <c r="P48" s="12">
        <v>0.86</v>
      </c>
      <c r="Q48" s="12"/>
      <c r="R48" s="12">
        <v>0.88500000000000001</v>
      </c>
      <c r="U48" s="20"/>
    </row>
    <row r="49" spans="11:21" x14ac:dyDescent="0.3">
      <c r="K49" s="5" t="s">
        <v>11</v>
      </c>
      <c r="L49" s="12"/>
      <c r="M49" s="12">
        <v>0.9</v>
      </c>
      <c r="N49" s="12">
        <v>0.9</v>
      </c>
      <c r="O49" s="12">
        <v>0.89</v>
      </c>
      <c r="P49" s="12">
        <v>0.89</v>
      </c>
      <c r="Q49" s="12"/>
      <c r="R49" s="12">
        <v>0.89500000000000002</v>
      </c>
      <c r="U49" s="20"/>
    </row>
    <row r="50" spans="11:21" x14ac:dyDescent="0.3">
      <c r="K50" s="5" t="s">
        <v>12</v>
      </c>
      <c r="L50" s="12"/>
      <c r="M50" s="12">
        <v>0.91</v>
      </c>
      <c r="N50" s="12">
        <v>0.88</v>
      </c>
      <c r="O50" s="12">
        <v>0.88</v>
      </c>
      <c r="P50" s="12">
        <v>0.92</v>
      </c>
      <c r="Q50" s="12"/>
      <c r="R50" s="12">
        <v>0.89749999999999996</v>
      </c>
      <c r="U50" s="20"/>
    </row>
    <row r="51" spans="11:21" x14ac:dyDescent="0.3">
      <c r="K51" s="5" t="s">
        <v>13</v>
      </c>
      <c r="L51" s="12"/>
      <c r="M51" s="12">
        <v>0.85</v>
      </c>
      <c r="N51" s="12">
        <v>0.85</v>
      </c>
      <c r="O51" s="12">
        <v>0.88</v>
      </c>
      <c r="P51" s="12">
        <v>0.9</v>
      </c>
      <c r="Q51" s="12"/>
      <c r="R51" s="12">
        <v>0.87</v>
      </c>
      <c r="U51" s="20"/>
    </row>
    <row r="52" spans="11:21" x14ac:dyDescent="0.3">
      <c r="K52" s="5" t="s">
        <v>4</v>
      </c>
      <c r="L52" s="12"/>
      <c r="M52" s="12">
        <v>0.86</v>
      </c>
      <c r="N52" s="12">
        <v>0.86</v>
      </c>
      <c r="O52" s="12">
        <v>0.86</v>
      </c>
      <c r="P52" s="12"/>
      <c r="Q52" s="12"/>
      <c r="R52" s="12">
        <v>0.86</v>
      </c>
      <c r="U52" s="20"/>
    </row>
    <row r="53" spans="11:21" x14ac:dyDescent="0.3">
      <c r="K53" s="5" t="s">
        <v>9</v>
      </c>
      <c r="L53" s="12"/>
      <c r="M53" s="12">
        <v>0.79</v>
      </c>
      <c r="N53" s="12">
        <v>0.84</v>
      </c>
      <c r="O53" s="12">
        <v>0.84</v>
      </c>
      <c r="P53" s="12"/>
      <c r="Q53" s="12"/>
      <c r="R53" s="12">
        <v>0.82333333333333325</v>
      </c>
      <c r="U53" s="20"/>
    </row>
    <row r="54" spans="11:21" x14ac:dyDescent="0.3">
      <c r="K54" s="5" t="s">
        <v>14</v>
      </c>
      <c r="L54" s="12"/>
      <c r="M54" s="12">
        <v>0.81</v>
      </c>
      <c r="N54" s="12">
        <v>0.82</v>
      </c>
      <c r="O54" s="12">
        <v>0.83</v>
      </c>
      <c r="P54" s="12"/>
      <c r="Q54" s="12"/>
      <c r="R54" s="12">
        <v>0.82</v>
      </c>
      <c r="U54" s="20"/>
    </row>
    <row r="55" spans="11:21" x14ac:dyDescent="0.3">
      <c r="K55" s="5" t="s">
        <v>15</v>
      </c>
      <c r="L55" s="12">
        <v>0.87</v>
      </c>
      <c r="M55" s="12">
        <v>0.82</v>
      </c>
      <c r="N55" s="12">
        <v>0.84</v>
      </c>
      <c r="O55" s="12">
        <v>0.85</v>
      </c>
      <c r="P55" s="12"/>
      <c r="Q55" s="12"/>
      <c r="R55" s="12">
        <v>0.84499999999999997</v>
      </c>
      <c r="U55" s="20"/>
    </row>
    <row r="56" spans="11:21" x14ac:dyDescent="0.3">
      <c r="K56" s="5" t="s">
        <v>16</v>
      </c>
      <c r="L56" s="12">
        <v>0.9</v>
      </c>
      <c r="M56" s="12">
        <v>0.82</v>
      </c>
      <c r="N56" s="12">
        <v>0.85</v>
      </c>
      <c r="O56" s="12">
        <v>0.85</v>
      </c>
      <c r="P56" s="12"/>
      <c r="Q56" s="12"/>
      <c r="R56" s="12">
        <v>0.85499999999999998</v>
      </c>
      <c r="U56" s="20"/>
    </row>
    <row r="57" spans="11:21" x14ac:dyDescent="0.3">
      <c r="K57" s="5" t="s">
        <v>17</v>
      </c>
      <c r="L57" s="12">
        <v>0.9</v>
      </c>
      <c r="M57" s="12">
        <v>0.83</v>
      </c>
      <c r="N57" s="12">
        <v>0.86</v>
      </c>
      <c r="O57" s="12">
        <v>0.85</v>
      </c>
      <c r="P57" s="12"/>
      <c r="Q57" s="12"/>
      <c r="R57" s="12">
        <v>0.86</v>
      </c>
      <c r="U57" s="20"/>
    </row>
    <row r="58" spans="11:21" x14ac:dyDescent="0.3">
      <c r="K58" s="5" t="s">
        <v>18</v>
      </c>
      <c r="L58" s="12">
        <v>0.89</v>
      </c>
      <c r="M58" s="12">
        <v>0.88</v>
      </c>
      <c r="N58" s="12">
        <v>0.87</v>
      </c>
      <c r="O58" s="12">
        <v>0.87</v>
      </c>
      <c r="P58" s="12"/>
      <c r="Q58" s="12"/>
      <c r="R58" s="12">
        <v>0.87750000000000006</v>
      </c>
      <c r="U58" s="20"/>
    </row>
    <row r="59" spans="11:21" x14ac:dyDescent="0.3">
      <c r="K59" s="5" t="s">
        <v>19</v>
      </c>
      <c r="L59" s="12">
        <v>0.89</v>
      </c>
      <c r="M59" s="12">
        <v>0.87</v>
      </c>
      <c r="N59" s="12">
        <v>0.85</v>
      </c>
      <c r="O59" s="12">
        <v>0.85</v>
      </c>
      <c r="P59" s="12"/>
      <c r="Q59" s="12"/>
      <c r="R59" s="12">
        <v>0.86499999999999999</v>
      </c>
      <c r="U59" s="20"/>
    </row>
    <row r="60" spans="11:21" x14ac:dyDescent="0.3">
      <c r="K60" s="5" t="s">
        <v>52</v>
      </c>
      <c r="L60" s="12"/>
      <c r="M60" s="12"/>
      <c r="N60" s="12"/>
      <c r="O60" s="12"/>
      <c r="P60" s="12"/>
      <c r="Q60" s="12"/>
      <c r="R60" s="12"/>
    </row>
    <row r="61" spans="11:21" x14ac:dyDescent="0.3">
      <c r="K61" s="5" t="s">
        <v>7</v>
      </c>
      <c r="L61" s="12">
        <v>0.89</v>
      </c>
      <c r="M61" s="12">
        <v>0.85416666666666685</v>
      </c>
      <c r="N61" s="12">
        <v>0.85916666666666652</v>
      </c>
      <c r="O61" s="12">
        <v>0.86083333333333323</v>
      </c>
      <c r="P61" s="12">
        <v>0.89249999999999996</v>
      </c>
      <c r="Q61" s="12"/>
      <c r="R61" s="12">
        <v>0.86466666666666669</v>
      </c>
    </row>
    <row r="68" spans="11:17" x14ac:dyDescent="0.3">
      <c r="K68" s="4" t="s">
        <v>0</v>
      </c>
      <c r="L68" s="4" t="s">
        <v>46</v>
      </c>
      <c r="M68" t="s">
        <v>48</v>
      </c>
    </row>
    <row r="69" spans="11:17" x14ac:dyDescent="0.3">
      <c r="K69">
        <v>2021</v>
      </c>
      <c r="L69">
        <v>8</v>
      </c>
      <c r="M69" s="7">
        <v>11100000</v>
      </c>
      <c r="Q69" s="6"/>
    </row>
    <row r="70" spans="11:17" x14ac:dyDescent="0.3">
      <c r="L70">
        <v>9</v>
      </c>
      <c r="M70" s="7">
        <v>10600000</v>
      </c>
      <c r="Q70" s="6"/>
    </row>
    <row r="71" spans="11:17" x14ac:dyDescent="0.3">
      <c r="L71">
        <v>10</v>
      </c>
      <c r="M71" s="7">
        <v>11300000</v>
      </c>
      <c r="Q71" s="6"/>
    </row>
    <row r="72" spans="11:17" x14ac:dyDescent="0.3">
      <c r="L72">
        <v>11</v>
      </c>
      <c r="M72" s="7">
        <v>10200000</v>
      </c>
      <c r="Q72" s="6"/>
    </row>
    <row r="73" spans="11:17" x14ac:dyDescent="0.3">
      <c r="L73">
        <v>12</v>
      </c>
      <c r="M73" s="7">
        <v>9500000</v>
      </c>
      <c r="Q73" s="6"/>
    </row>
    <row r="74" spans="11:17" x14ac:dyDescent="0.3">
      <c r="K74">
        <v>2022</v>
      </c>
      <c r="L74">
        <v>1</v>
      </c>
      <c r="M74" s="7">
        <v>7000000</v>
      </c>
      <c r="Q74" s="6"/>
    </row>
    <row r="75" spans="11:17" x14ac:dyDescent="0.3">
      <c r="L75">
        <v>2</v>
      </c>
      <c r="M75" s="7">
        <v>8700000</v>
      </c>
      <c r="Q75" s="6"/>
    </row>
    <row r="76" spans="11:17" x14ac:dyDescent="0.3">
      <c r="L76">
        <v>3</v>
      </c>
      <c r="M76" s="7">
        <v>11200000</v>
      </c>
      <c r="Q76" s="6"/>
    </row>
    <row r="77" spans="11:17" x14ac:dyDescent="0.3">
      <c r="L77">
        <v>4</v>
      </c>
      <c r="M77" s="7">
        <v>14200000</v>
      </c>
      <c r="Q77" s="6"/>
    </row>
    <row r="78" spans="11:17" x14ac:dyDescent="0.3">
      <c r="L78">
        <v>5</v>
      </c>
      <c r="M78" s="7">
        <v>15400000</v>
      </c>
      <c r="Q78" s="6"/>
    </row>
    <row r="79" spans="11:17" x14ac:dyDescent="0.3">
      <c r="L79">
        <v>6</v>
      </c>
      <c r="M79" s="7">
        <v>15900000</v>
      </c>
      <c r="Q79" s="6"/>
    </row>
    <row r="80" spans="11:17" x14ac:dyDescent="0.3">
      <c r="L80">
        <v>7</v>
      </c>
      <c r="M80" s="7">
        <v>16800000</v>
      </c>
      <c r="Q80" s="6"/>
    </row>
    <row r="81" spans="11:17" x14ac:dyDescent="0.3">
      <c r="L81">
        <v>8</v>
      </c>
      <c r="M81" s="7">
        <v>16900000</v>
      </c>
      <c r="Q81" s="6"/>
    </row>
    <row r="82" spans="11:17" x14ac:dyDescent="0.3">
      <c r="L82">
        <v>9</v>
      </c>
      <c r="M82" s="7">
        <v>15900000</v>
      </c>
      <c r="Q82" s="6"/>
    </row>
    <row r="83" spans="11:17" x14ac:dyDescent="0.3">
      <c r="L83">
        <v>10</v>
      </c>
      <c r="M83" s="7">
        <v>15700000</v>
      </c>
      <c r="Q83" s="6"/>
    </row>
    <row r="84" spans="11:17" x14ac:dyDescent="0.3">
      <c r="L84">
        <v>11</v>
      </c>
      <c r="M84" s="7">
        <v>11200000</v>
      </c>
      <c r="Q84" s="6"/>
    </row>
    <row r="85" spans="11:17" x14ac:dyDescent="0.3">
      <c r="L85">
        <v>12</v>
      </c>
      <c r="M85" s="7">
        <v>11500000</v>
      </c>
      <c r="Q85" s="6"/>
    </row>
    <row r="86" spans="11:17" x14ac:dyDescent="0.3">
      <c r="K86">
        <v>2023</v>
      </c>
      <c r="L86">
        <v>1</v>
      </c>
      <c r="M86" s="7">
        <v>11800000</v>
      </c>
      <c r="Q86" s="6"/>
    </row>
    <row r="87" spans="11:17" x14ac:dyDescent="0.3">
      <c r="L87">
        <v>2</v>
      </c>
      <c r="M87" s="7">
        <v>10600000</v>
      </c>
      <c r="Q87" s="6"/>
    </row>
    <row r="88" spans="11:17" x14ac:dyDescent="0.3">
      <c r="L88">
        <v>3</v>
      </c>
      <c r="M88" s="7">
        <v>12600000</v>
      </c>
      <c r="Q88" s="6"/>
    </row>
    <row r="89" spans="11:17" x14ac:dyDescent="0.3">
      <c r="L89">
        <v>4</v>
      </c>
      <c r="M89" s="7">
        <v>16000000</v>
      </c>
      <c r="Q89" s="6"/>
    </row>
    <row r="90" spans="11:17" x14ac:dyDescent="0.3">
      <c r="L90">
        <v>5</v>
      </c>
      <c r="M90" s="7">
        <v>17000000</v>
      </c>
      <c r="Q90" s="6"/>
    </row>
    <row r="91" spans="11:17" x14ac:dyDescent="0.3">
      <c r="L91">
        <v>6</v>
      </c>
      <c r="M91" s="7">
        <v>17400000</v>
      </c>
      <c r="Q91" s="6"/>
    </row>
    <row r="92" spans="11:17" x14ac:dyDescent="0.3">
      <c r="L92">
        <v>7</v>
      </c>
      <c r="M92" s="7">
        <v>18700000</v>
      </c>
      <c r="Q92" s="6"/>
    </row>
    <row r="93" spans="11:17" x14ac:dyDescent="0.3">
      <c r="L93">
        <v>8</v>
      </c>
      <c r="M93" s="7">
        <v>18900000</v>
      </c>
      <c r="Q93" s="6"/>
    </row>
    <row r="94" spans="11:17" x14ac:dyDescent="0.3">
      <c r="L94">
        <v>9</v>
      </c>
      <c r="M94" s="7">
        <v>17400000</v>
      </c>
      <c r="Q94" s="6"/>
    </row>
    <row r="95" spans="11:17" x14ac:dyDescent="0.3">
      <c r="L95">
        <v>10</v>
      </c>
      <c r="M95" s="7">
        <v>17100000</v>
      </c>
      <c r="Q95" s="6"/>
    </row>
    <row r="96" spans="11:17" x14ac:dyDescent="0.3">
      <c r="L96">
        <v>11</v>
      </c>
      <c r="M96" s="7">
        <v>11700000</v>
      </c>
      <c r="Q96" s="6"/>
    </row>
    <row r="97" spans="11:17" x14ac:dyDescent="0.3">
      <c r="L97">
        <v>12</v>
      </c>
      <c r="M97" s="7">
        <v>12500000</v>
      </c>
      <c r="Q97" s="6"/>
    </row>
    <row r="98" spans="11:17" x14ac:dyDescent="0.3">
      <c r="K98">
        <v>2024</v>
      </c>
      <c r="L98">
        <v>1</v>
      </c>
      <c r="M98" s="7">
        <v>12200000</v>
      </c>
      <c r="Q98" s="6"/>
    </row>
    <row r="99" spans="11:17" x14ac:dyDescent="0.3">
      <c r="L99">
        <v>2</v>
      </c>
      <c r="M99" s="7">
        <v>11100000</v>
      </c>
      <c r="Q99" s="6"/>
    </row>
    <row r="100" spans="11:17" x14ac:dyDescent="0.3">
      <c r="L100">
        <v>3</v>
      </c>
      <c r="M100" s="7">
        <v>13600000</v>
      </c>
      <c r="Q100" s="6"/>
    </row>
    <row r="101" spans="11:17" x14ac:dyDescent="0.3">
      <c r="L101">
        <v>4</v>
      </c>
      <c r="M101" s="7">
        <v>17300000</v>
      </c>
      <c r="Q101" s="6"/>
    </row>
    <row r="102" spans="11:17" x14ac:dyDescent="0.3">
      <c r="L102">
        <v>5</v>
      </c>
      <c r="M102" s="7">
        <v>18900000</v>
      </c>
      <c r="Q102" s="6"/>
    </row>
    <row r="103" spans="11:17" x14ac:dyDescent="0.3">
      <c r="L103">
        <v>6</v>
      </c>
      <c r="M103" s="7">
        <v>19300000</v>
      </c>
      <c r="Q103" s="6"/>
    </row>
    <row r="104" spans="11:17" x14ac:dyDescent="0.3">
      <c r="L104">
        <v>7</v>
      </c>
      <c r="M104" s="7">
        <v>20200000</v>
      </c>
      <c r="Q104" s="6"/>
    </row>
    <row r="105" spans="11:17" x14ac:dyDescent="0.3">
      <c r="L105">
        <v>8</v>
      </c>
      <c r="M105" s="7">
        <v>20500000</v>
      </c>
      <c r="Q105" s="6"/>
    </row>
    <row r="106" spans="11:17" x14ac:dyDescent="0.3">
      <c r="L106">
        <v>9</v>
      </c>
      <c r="M106" s="7">
        <v>19100000</v>
      </c>
      <c r="Q106" s="6"/>
    </row>
    <row r="107" spans="11:17" x14ac:dyDescent="0.3">
      <c r="L107">
        <v>10</v>
      </c>
      <c r="M107" s="7">
        <v>18300000</v>
      </c>
      <c r="Q107" s="6"/>
    </row>
    <row r="108" spans="11:17" x14ac:dyDescent="0.3">
      <c r="L108">
        <v>11</v>
      </c>
      <c r="M108" s="7">
        <v>13000000</v>
      </c>
      <c r="Q108" s="6"/>
    </row>
    <row r="109" spans="11:17" x14ac:dyDescent="0.3">
      <c r="L109">
        <v>12</v>
      </c>
      <c r="M109" s="7">
        <v>13600000</v>
      </c>
      <c r="Q109" s="6"/>
    </row>
    <row r="110" spans="11:17" x14ac:dyDescent="0.3">
      <c r="K110">
        <v>2025</v>
      </c>
      <c r="L110">
        <v>1</v>
      </c>
      <c r="M110" s="7">
        <v>12400000</v>
      </c>
      <c r="Q110" s="6"/>
    </row>
    <row r="111" spans="11:17" x14ac:dyDescent="0.3">
      <c r="L111">
        <v>2</v>
      </c>
      <c r="M111" s="7">
        <v>12600000</v>
      </c>
      <c r="Q111" s="6"/>
    </row>
    <row r="112" spans="11:17" x14ac:dyDescent="0.3">
      <c r="L112">
        <v>3</v>
      </c>
      <c r="M112" s="7">
        <v>15000000</v>
      </c>
      <c r="Q112" s="6"/>
    </row>
    <row r="113" spans="11:17" x14ac:dyDescent="0.3">
      <c r="L113">
        <v>4</v>
      </c>
      <c r="M113" s="7">
        <v>18300000</v>
      </c>
      <c r="Q113" s="6"/>
    </row>
    <row r="114" spans="11:17" x14ac:dyDescent="0.3">
      <c r="K114" t="s">
        <v>52</v>
      </c>
      <c r="L114" t="s">
        <v>52</v>
      </c>
    </row>
    <row r="115" spans="11:17" x14ac:dyDescent="0.3">
      <c r="K115" t="s">
        <v>7</v>
      </c>
      <c r="M115">
        <v>650200000</v>
      </c>
    </row>
    <row r="120" spans="11:17" x14ac:dyDescent="0.3">
      <c r="K120" s="4" t="s">
        <v>6</v>
      </c>
      <c r="L120" t="s">
        <v>51</v>
      </c>
      <c r="M120" t="s">
        <v>1</v>
      </c>
      <c r="N120" s="21" t="s">
        <v>51</v>
      </c>
    </row>
    <row r="121" spans="11:17" x14ac:dyDescent="0.3">
      <c r="K121" s="5">
        <v>2021</v>
      </c>
      <c r="L121" s="12">
        <v>0.89</v>
      </c>
      <c r="M121">
        <f>1-GETPIVOTDATA("Customer Satisfaction",$K$120,"Year",2021)</f>
        <v>0.10999999999999999</v>
      </c>
      <c r="N121" s="22">
        <v>0.89</v>
      </c>
    </row>
    <row r="122" spans="11:17" x14ac:dyDescent="0.3">
      <c r="K122" s="5">
        <v>2022</v>
      </c>
      <c r="L122" s="12">
        <v>0.85416666666666663</v>
      </c>
      <c r="M122">
        <f>1-GETPIVOTDATA("Customer Satisfaction",$K$120,"Year",2022)</f>
        <v>0.14583333333333337</v>
      </c>
      <c r="N122" s="22">
        <v>0.85416666666666663</v>
      </c>
    </row>
    <row r="123" spans="11:17" x14ac:dyDescent="0.3">
      <c r="K123" s="5">
        <v>2023</v>
      </c>
      <c r="L123" s="12">
        <v>0.85916666666666686</v>
      </c>
      <c r="M123">
        <f>1-GETPIVOTDATA("Customer Satisfaction",$K$120,"Year",2023)</f>
        <v>0.14083333333333314</v>
      </c>
      <c r="N123" s="22">
        <v>0.85916666666666686</v>
      </c>
    </row>
    <row r="124" spans="11:17" x14ac:dyDescent="0.3">
      <c r="K124" s="5">
        <v>2024</v>
      </c>
      <c r="L124" s="12">
        <v>0.86083333333333345</v>
      </c>
      <c r="M124">
        <f>1-GETPIVOTDATA("Customer Satisfaction",$K$120,"Year",2024)</f>
        <v>0.13916666666666655</v>
      </c>
      <c r="N124" s="22">
        <v>0.86083333333333345</v>
      </c>
    </row>
    <row r="125" spans="11:17" x14ac:dyDescent="0.3">
      <c r="K125" s="5">
        <v>2025</v>
      </c>
      <c r="L125" s="12">
        <v>0.89249999999999996</v>
      </c>
      <c r="M125">
        <f>1-GETPIVOTDATA("Customer Satisfaction",$K$120,"Year",2025)</f>
        <v>0.10750000000000004</v>
      </c>
      <c r="N125" s="22">
        <v>0.89249999999999996</v>
      </c>
    </row>
    <row r="126" spans="11:17" x14ac:dyDescent="0.3">
      <c r="K126" s="5" t="s">
        <v>52</v>
      </c>
      <c r="L126" s="12"/>
    </row>
    <row r="127" spans="11:17" x14ac:dyDescent="0.3">
      <c r="K127" s="5" t="s">
        <v>7</v>
      </c>
      <c r="L127" s="12">
        <v>0.86466666666666692</v>
      </c>
    </row>
    <row r="132" spans="1:7" s="2" customFormat="1" ht="15" thickBot="1" x14ac:dyDescent="0.35"/>
    <row r="133" spans="1:7" ht="15" thickTop="1" x14ac:dyDescent="0.3">
      <c r="A133" s="9" t="s">
        <v>20</v>
      </c>
      <c r="B133" s="9" t="s">
        <v>21</v>
      </c>
      <c r="C133" s="9" t="s">
        <v>22</v>
      </c>
      <c r="D133" s="9" t="s">
        <v>2</v>
      </c>
      <c r="E133" s="35"/>
      <c r="F133" s="35"/>
      <c r="G133" t="s">
        <v>85</v>
      </c>
    </row>
    <row r="134" spans="1:7" x14ac:dyDescent="0.3">
      <c r="A134" s="8">
        <v>2022</v>
      </c>
      <c r="B134" s="8" t="s">
        <v>72</v>
      </c>
      <c r="C134" s="8" t="s">
        <v>74</v>
      </c>
      <c r="D134" s="8">
        <v>175.9</v>
      </c>
      <c r="G134">
        <v>232</v>
      </c>
    </row>
    <row r="135" spans="1:7" x14ac:dyDescent="0.3">
      <c r="A135">
        <v>2022</v>
      </c>
      <c r="B135" t="s">
        <v>73</v>
      </c>
      <c r="C135" t="s">
        <v>75</v>
      </c>
      <c r="D135" s="36">
        <v>1557.3</v>
      </c>
    </row>
    <row r="136" spans="1:7" x14ac:dyDescent="0.3">
      <c r="A136">
        <v>2022</v>
      </c>
      <c r="B136" t="s">
        <v>73</v>
      </c>
      <c r="C136" t="s">
        <v>76</v>
      </c>
      <c r="D136">
        <v>10.5</v>
      </c>
    </row>
    <row r="137" spans="1:7" x14ac:dyDescent="0.3">
      <c r="A137">
        <v>2022</v>
      </c>
      <c r="B137" t="s">
        <v>77</v>
      </c>
      <c r="C137" t="s">
        <v>78</v>
      </c>
      <c r="D137">
        <v>35.200000000000003</v>
      </c>
    </row>
    <row r="138" spans="1:7" x14ac:dyDescent="0.3">
      <c r="A138">
        <v>2022</v>
      </c>
      <c r="B138" t="s">
        <v>79</v>
      </c>
      <c r="C138" t="s">
        <v>80</v>
      </c>
      <c r="D138">
        <v>6.8</v>
      </c>
    </row>
    <row r="139" spans="1:7" x14ac:dyDescent="0.3">
      <c r="A139">
        <v>2022</v>
      </c>
      <c r="B139" t="s">
        <v>79</v>
      </c>
      <c r="C139" t="s">
        <v>81</v>
      </c>
      <c r="D139" s="36">
        <v>1328.2</v>
      </c>
    </row>
    <row r="140" spans="1:7" x14ac:dyDescent="0.3">
      <c r="A140">
        <v>2022</v>
      </c>
      <c r="B140" t="s">
        <v>79</v>
      </c>
      <c r="C140" t="s">
        <v>82</v>
      </c>
      <c r="D140">
        <v>3.5</v>
      </c>
    </row>
    <row r="141" spans="1:7" x14ac:dyDescent="0.3">
      <c r="A141">
        <v>2022</v>
      </c>
      <c r="B141" t="s">
        <v>79</v>
      </c>
      <c r="C141" t="s">
        <v>83</v>
      </c>
      <c r="D141">
        <v>339.5</v>
      </c>
    </row>
    <row r="142" spans="1:7" x14ac:dyDescent="0.3">
      <c r="A142">
        <v>2022</v>
      </c>
      <c r="B142" t="s">
        <v>79</v>
      </c>
      <c r="C142" t="s">
        <v>84</v>
      </c>
      <c r="D142">
        <v>30.5</v>
      </c>
    </row>
    <row r="143" spans="1:7" x14ac:dyDescent="0.3">
      <c r="A143" s="8">
        <v>2023</v>
      </c>
      <c r="B143" s="8" t="s">
        <v>72</v>
      </c>
      <c r="C143" s="8" t="s">
        <v>74</v>
      </c>
      <c r="D143" s="8">
        <v>197.6</v>
      </c>
    </row>
    <row r="144" spans="1:7" x14ac:dyDescent="0.3">
      <c r="A144">
        <v>2023</v>
      </c>
      <c r="B144" t="s">
        <v>73</v>
      </c>
      <c r="C144" t="s">
        <v>75</v>
      </c>
      <c r="D144" s="36">
        <v>1603</v>
      </c>
    </row>
    <row r="145" spans="1:4" x14ac:dyDescent="0.3">
      <c r="A145">
        <v>2023</v>
      </c>
      <c r="B145" t="s">
        <v>73</v>
      </c>
      <c r="C145" t="s">
        <v>76</v>
      </c>
      <c r="D145">
        <v>11.1</v>
      </c>
    </row>
    <row r="146" spans="1:4" x14ac:dyDescent="0.3">
      <c r="A146">
        <v>2023</v>
      </c>
      <c r="B146" t="s">
        <v>77</v>
      </c>
      <c r="C146" t="s">
        <v>78</v>
      </c>
      <c r="D146">
        <v>35.200000000000003</v>
      </c>
    </row>
    <row r="147" spans="1:4" x14ac:dyDescent="0.3">
      <c r="A147">
        <v>2023</v>
      </c>
      <c r="B147" t="s">
        <v>79</v>
      </c>
      <c r="C147" t="s">
        <v>80</v>
      </c>
      <c r="D147">
        <v>6.9</v>
      </c>
    </row>
    <row r="148" spans="1:4" x14ac:dyDescent="0.3">
      <c r="A148">
        <v>2023</v>
      </c>
      <c r="B148" t="s">
        <v>79</v>
      </c>
      <c r="C148" t="s">
        <v>81</v>
      </c>
      <c r="D148" s="36">
        <v>1379.9</v>
      </c>
    </row>
    <row r="149" spans="1:4" x14ac:dyDescent="0.3">
      <c r="A149">
        <v>2023</v>
      </c>
      <c r="B149" t="s">
        <v>79</v>
      </c>
      <c r="C149" t="s">
        <v>82</v>
      </c>
      <c r="D149">
        <v>3.5</v>
      </c>
    </row>
    <row r="150" spans="1:4" x14ac:dyDescent="0.3">
      <c r="A150">
        <v>2023</v>
      </c>
      <c r="B150" t="s">
        <v>79</v>
      </c>
      <c r="C150" t="s">
        <v>83</v>
      </c>
      <c r="D150">
        <v>344.9</v>
      </c>
    </row>
    <row r="151" spans="1:4" x14ac:dyDescent="0.3">
      <c r="A151">
        <v>2023</v>
      </c>
      <c r="B151" t="s">
        <v>79</v>
      </c>
      <c r="C151" t="s">
        <v>84</v>
      </c>
      <c r="D151">
        <v>41.3</v>
      </c>
    </row>
    <row r="152" spans="1:4" x14ac:dyDescent="0.3">
      <c r="A152" s="8">
        <v>2024</v>
      </c>
      <c r="B152" s="8" t="s">
        <v>72</v>
      </c>
      <c r="C152" s="8" t="s">
        <v>74</v>
      </c>
      <c r="D152" s="8">
        <v>193.7</v>
      </c>
    </row>
    <row r="153" spans="1:4" x14ac:dyDescent="0.3">
      <c r="A153">
        <v>2024</v>
      </c>
      <c r="B153" t="s">
        <v>73</v>
      </c>
      <c r="C153" t="s">
        <v>75</v>
      </c>
      <c r="D153" s="36">
        <v>3325</v>
      </c>
    </row>
    <row r="154" spans="1:4" x14ac:dyDescent="0.3">
      <c r="A154">
        <v>2024</v>
      </c>
      <c r="B154" t="s">
        <v>73</v>
      </c>
      <c r="C154" t="s">
        <v>76</v>
      </c>
      <c r="D154">
        <v>14.2</v>
      </c>
    </row>
    <row r="155" spans="1:4" x14ac:dyDescent="0.3">
      <c r="A155">
        <v>2024</v>
      </c>
      <c r="B155" t="s">
        <v>77</v>
      </c>
      <c r="C155" t="s">
        <v>78</v>
      </c>
      <c r="D155">
        <v>35.200000000000003</v>
      </c>
    </row>
    <row r="156" spans="1:4" x14ac:dyDescent="0.3">
      <c r="A156">
        <v>2024</v>
      </c>
      <c r="B156" t="s">
        <v>79</v>
      </c>
      <c r="C156" t="s">
        <v>80</v>
      </c>
      <c r="D156">
        <v>6.9</v>
      </c>
    </row>
    <row r="157" spans="1:4" x14ac:dyDescent="0.3">
      <c r="A157">
        <v>2024</v>
      </c>
      <c r="B157" t="s">
        <v>79</v>
      </c>
      <c r="C157" t="s">
        <v>81</v>
      </c>
      <c r="D157" s="36">
        <v>1404.3</v>
      </c>
    </row>
    <row r="158" spans="1:4" x14ac:dyDescent="0.3">
      <c r="A158">
        <v>2024</v>
      </c>
      <c r="B158" t="s">
        <v>79</v>
      </c>
      <c r="C158" t="s">
        <v>82</v>
      </c>
      <c r="D158">
        <v>3.5</v>
      </c>
    </row>
    <row r="159" spans="1:4" x14ac:dyDescent="0.3">
      <c r="A159">
        <v>2024</v>
      </c>
      <c r="B159" t="s">
        <v>79</v>
      </c>
      <c r="C159" t="s">
        <v>83</v>
      </c>
      <c r="D159" s="36">
        <v>2049.1999999999998</v>
      </c>
    </row>
    <row r="160" spans="1:4" x14ac:dyDescent="0.3">
      <c r="A160">
        <v>2024</v>
      </c>
      <c r="B160" t="s">
        <v>79</v>
      </c>
      <c r="C160" t="s">
        <v>84</v>
      </c>
      <c r="D160">
        <v>33.799999999999997</v>
      </c>
    </row>
  </sheetData>
  <autoFilter ref="A1:I46" xr:uid="{23A8E7A9-D4C4-4D15-9D7C-C8395C607DDD}"/>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8BB8C-A1D7-4259-9792-52D6E5FBC548}">
  <dimension ref="A9:K46"/>
  <sheetViews>
    <sheetView showGridLines="0" tabSelected="1" zoomScale="70" zoomScaleNormal="70" workbookViewId="0">
      <selection activeCell="P14" sqref="P14"/>
    </sheetView>
  </sheetViews>
  <sheetFormatPr defaultRowHeight="14.4" x14ac:dyDescent="0.3"/>
  <cols>
    <col min="1" max="1" width="21.44140625" style="13" customWidth="1"/>
    <col min="2" max="2" width="4.44140625" customWidth="1"/>
    <col min="3" max="3" width="11.21875" customWidth="1"/>
    <col min="4" max="4" width="16.109375" customWidth="1"/>
    <col min="5" max="5" width="15.33203125" customWidth="1"/>
    <col min="6" max="6" width="13.44140625" customWidth="1"/>
    <col min="7" max="7" width="3.5546875" customWidth="1"/>
    <col min="8" max="8" width="11.5546875" customWidth="1"/>
    <col min="9" max="10" width="16.21875" bestFit="1" customWidth="1"/>
    <col min="11" max="11" width="9" customWidth="1"/>
    <col min="16" max="16" width="9" customWidth="1"/>
  </cols>
  <sheetData>
    <row r="9" spans="3:11" x14ac:dyDescent="0.3">
      <c r="C9" s="45" t="s">
        <v>55</v>
      </c>
      <c r="D9" s="45"/>
      <c r="E9" s="45"/>
      <c r="F9" s="45"/>
      <c r="H9" s="45" t="s">
        <v>56</v>
      </c>
      <c r="I9" s="45"/>
      <c r="J9" s="45"/>
      <c r="K9" s="45"/>
    </row>
    <row r="10" spans="3:11" x14ac:dyDescent="0.3">
      <c r="C10" s="15" t="s">
        <v>30</v>
      </c>
      <c r="D10" s="15" t="s">
        <v>53</v>
      </c>
      <c r="E10" s="15" t="s">
        <v>54</v>
      </c>
      <c r="F10" s="15" t="s">
        <v>5</v>
      </c>
      <c r="H10" s="15" t="s">
        <v>30</v>
      </c>
      <c r="I10" s="15" t="s">
        <v>57</v>
      </c>
      <c r="J10" s="15" t="s">
        <v>58</v>
      </c>
      <c r="K10" s="15" t="s">
        <v>5</v>
      </c>
    </row>
    <row r="11" spans="3:11" x14ac:dyDescent="0.3">
      <c r="C11" t="str">
        <f>DATA!K27</f>
        <v>January</v>
      </c>
      <c r="D11" s="6">
        <f>GETPIVOTDATA("Passengers",DATA!$K$25,"Year",2023,"Month","January")</f>
        <v>11800000</v>
      </c>
      <c r="E11" s="6">
        <f>GETPIVOTDATA("Passengers",DATA!$K$25,"Year",2024,"Month","January")</f>
        <v>12200000</v>
      </c>
      <c r="F11" s="7">
        <f>E11-D11</f>
        <v>400000</v>
      </c>
      <c r="H11" t="str">
        <f>DATA!K48</f>
        <v>January</v>
      </c>
      <c r="I11" s="3">
        <f>GETPIVOTDATA("Customer Satisfaction",DATA!$K$46,"Year",2023,"Month","January")</f>
        <v>0.89</v>
      </c>
      <c r="J11" s="3">
        <f>GETPIVOTDATA("Customer Satisfaction",DATA!$K$46,"Year",2024,"Month","January")</f>
        <v>0.88</v>
      </c>
      <c r="K11" s="3">
        <f>J11-I11</f>
        <v>-1.0000000000000009E-2</v>
      </c>
    </row>
    <row r="12" spans="3:11" x14ac:dyDescent="0.3">
      <c r="C12" t="str">
        <f>DATA!K28</f>
        <v>February</v>
      </c>
      <c r="D12" s="6">
        <f>GETPIVOTDATA("Passengers",DATA!$K$25,"Year",2023,"Month","February")</f>
        <v>10600000</v>
      </c>
      <c r="E12" s="6">
        <f>GETPIVOTDATA("Passengers",DATA!$K$25,"Year",2024,"Month","February")</f>
        <v>11100000</v>
      </c>
      <c r="F12" s="7">
        <f t="shared" ref="F12:F22" si="0">E12-D12</f>
        <v>500000</v>
      </c>
      <c r="H12" t="str">
        <f>DATA!K49</f>
        <v>February</v>
      </c>
      <c r="I12" s="3">
        <f>GETPIVOTDATA("Customer Satisfaction",DATA!$K$46,"Year",2023,"Month","February")</f>
        <v>0.9</v>
      </c>
      <c r="J12" s="3">
        <f>GETPIVOTDATA("Customer Satisfaction",DATA!$K$46,"Year",2024,"Month","February")</f>
        <v>0.89</v>
      </c>
      <c r="K12" s="3">
        <f t="shared" ref="K12:K22" si="1">J12-I12</f>
        <v>-1.0000000000000009E-2</v>
      </c>
    </row>
    <row r="13" spans="3:11" x14ac:dyDescent="0.3">
      <c r="C13" t="str">
        <f>DATA!K29</f>
        <v>March</v>
      </c>
      <c r="D13" s="6">
        <f>GETPIVOTDATA("Passengers",DATA!$K$25,"Year",2023,"Month","March")</f>
        <v>12600000</v>
      </c>
      <c r="E13" s="6">
        <f>GETPIVOTDATA("Passengers",DATA!$K$25,"Year",2024,"Month","March")</f>
        <v>13600000</v>
      </c>
      <c r="F13" s="7">
        <f t="shared" si="0"/>
        <v>1000000</v>
      </c>
      <c r="H13" t="str">
        <f>DATA!K50</f>
        <v>March</v>
      </c>
      <c r="I13" s="3">
        <f>GETPIVOTDATA("Customer Satisfaction",DATA!$K$46,"Year",2023,"Month","March")</f>
        <v>0.88</v>
      </c>
      <c r="J13" s="3">
        <f>GETPIVOTDATA("Customer Satisfaction",DATA!$K$46,"Year",2024,"Month","March")</f>
        <v>0.88</v>
      </c>
      <c r="K13" s="3">
        <f t="shared" si="1"/>
        <v>0</v>
      </c>
    </row>
    <row r="14" spans="3:11" x14ac:dyDescent="0.3">
      <c r="C14" t="str">
        <f>DATA!K30</f>
        <v>April</v>
      </c>
      <c r="D14" s="6">
        <f>GETPIVOTDATA("Passengers",DATA!$K$25,"Year",2023,"Month","April")</f>
        <v>16000000</v>
      </c>
      <c r="E14" s="6">
        <f>GETPIVOTDATA("Passengers",DATA!$K$25,"Year",2024,"Month","April")</f>
        <v>17300000</v>
      </c>
      <c r="F14" s="7">
        <f t="shared" si="0"/>
        <v>1300000</v>
      </c>
      <c r="H14" t="str">
        <f>DATA!K51</f>
        <v>April</v>
      </c>
      <c r="I14" s="3">
        <f>GETPIVOTDATA("Customer Satisfaction",DATA!$K$46,"Year",2023,"Month","April")</f>
        <v>0.85</v>
      </c>
      <c r="J14" s="3">
        <f>GETPIVOTDATA("Customer Satisfaction",DATA!$K$46,"Year",2024,"Month","April")</f>
        <v>0.88</v>
      </c>
      <c r="K14" s="3">
        <f t="shared" si="1"/>
        <v>3.0000000000000027E-2</v>
      </c>
    </row>
    <row r="15" spans="3:11" x14ac:dyDescent="0.3">
      <c r="C15" t="str">
        <f>DATA!K31</f>
        <v>May</v>
      </c>
      <c r="D15" s="6">
        <f>GETPIVOTDATA("Passengers",DATA!$K$25,"Year",2023,"Month","May")</f>
        <v>17000000</v>
      </c>
      <c r="E15" s="6">
        <f>GETPIVOTDATA("Passengers",DATA!$K$25,"Year",2024,"Month","May")</f>
        <v>18900000</v>
      </c>
      <c r="F15" s="7">
        <f t="shared" si="0"/>
        <v>1900000</v>
      </c>
      <c r="H15" t="str">
        <f>DATA!K52</f>
        <v>May</v>
      </c>
      <c r="I15" s="3">
        <f>GETPIVOTDATA("Customer Satisfaction",DATA!$K$46,"Year",2023,"Month","May")</f>
        <v>0.86</v>
      </c>
      <c r="J15" s="3">
        <f>GETPIVOTDATA("Customer Satisfaction",DATA!$K$46,"Year",2024,"Month","May")</f>
        <v>0.86</v>
      </c>
      <c r="K15" s="3">
        <f t="shared" si="1"/>
        <v>0</v>
      </c>
    </row>
    <row r="16" spans="3:11" x14ac:dyDescent="0.3">
      <c r="C16" t="str">
        <f>DATA!K32</f>
        <v>June</v>
      </c>
      <c r="D16" s="6">
        <f>GETPIVOTDATA("Passengers",DATA!$K$25,"Year",2023,"Month","June")</f>
        <v>17400000</v>
      </c>
      <c r="E16" s="6">
        <f>GETPIVOTDATA("Passengers",DATA!$K$25,"Year",2024,"Month","June")</f>
        <v>19300000</v>
      </c>
      <c r="F16" s="7">
        <f t="shared" si="0"/>
        <v>1900000</v>
      </c>
      <c r="H16" t="str">
        <f>DATA!K53</f>
        <v>June</v>
      </c>
      <c r="I16" s="3">
        <f>GETPIVOTDATA("Customer Satisfaction",DATA!$K$46,"Year",2023,"Month","June")</f>
        <v>0.84</v>
      </c>
      <c r="J16" s="3">
        <f>GETPIVOTDATA("Customer Satisfaction",DATA!$K$46,"Year",2024,"Month","June")</f>
        <v>0.84</v>
      </c>
      <c r="K16" s="3">
        <f t="shared" si="1"/>
        <v>0</v>
      </c>
    </row>
    <row r="17" spans="3:11" x14ac:dyDescent="0.3">
      <c r="C17" t="str">
        <f>DATA!K33</f>
        <v>July</v>
      </c>
      <c r="D17" s="6">
        <f>GETPIVOTDATA("Passengers",DATA!$K$25,"Year",2023,"Month","July")</f>
        <v>18700000</v>
      </c>
      <c r="E17" s="6">
        <f>GETPIVOTDATA("Passengers",DATA!$K$25,"Year",2024,"Month","July")</f>
        <v>20200000</v>
      </c>
      <c r="F17" s="7">
        <f t="shared" si="0"/>
        <v>1500000</v>
      </c>
      <c r="H17" t="str">
        <f>DATA!K54</f>
        <v>July</v>
      </c>
      <c r="I17" s="3">
        <f>GETPIVOTDATA("Customer Satisfaction",DATA!$K$46,"Year",2023,"Month","July")</f>
        <v>0.82</v>
      </c>
      <c r="J17" s="3">
        <f>GETPIVOTDATA("Customer Satisfaction",DATA!$K$46,"Year",2024,"Month","July")</f>
        <v>0.83</v>
      </c>
      <c r="K17" s="3">
        <f t="shared" si="1"/>
        <v>1.0000000000000009E-2</v>
      </c>
    </row>
    <row r="18" spans="3:11" x14ac:dyDescent="0.3">
      <c r="C18" t="str">
        <f>DATA!K34</f>
        <v>August</v>
      </c>
      <c r="D18" s="6">
        <f>GETPIVOTDATA("Passengers",DATA!$K$25,"Year",2023,"Month","August")</f>
        <v>18900000</v>
      </c>
      <c r="E18" s="6">
        <f>GETPIVOTDATA("Passengers",DATA!$K$25,"Year",2024,"Month","August")</f>
        <v>20500000</v>
      </c>
      <c r="F18" s="7">
        <f t="shared" si="0"/>
        <v>1600000</v>
      </c>
      <c r="H18" t="str">
        <f>DATA!K55</f>
        <v>August</v>
      </c>
      <c r="I18" s="3">
        <f>GETPIVOTDATA("Customer Satisfaction",DATA!$K$46,"Year",2023,"Month","August")</f>
        <v>0.84</v>
      </c>
      <c r="J18" s="3">
        <f>GETPIVOTDATA("Customer Satisfaction",DATA!$K$46,"Year",2024,"Month","August")</f>
        <v>0.85</v>
      </c>
      <c r="K18" s="3">
        <f t="shared" si="1"/>
        <v>1.0000000000000009E-2</v>
      </c>
    </row>
    <row r="19" spans="3:11" x14ac:dyDescent="0.3">
      <c r="C19" t="str">
        <f>DATA!K35</f>
        <v>September</v>
      </c>
      <c r="D19" s="6">
        <f>GETPIVOTDATA("Passengers",DATA!$K$25,"Year",2023,"Month","September")</f>
        <v>17400000</v>
      </c>
      <c r="E19" s="6">
        <f>GETPIVOTDATA("Passengers",DATA!$K$25,"Year",2024,"Month","September")</f>
        <v>19100000</v>
      </c>
      <c r="F19" s="7">
        <f t="shared" si="0"/>
        <v>1700000</v>
      </c>
      <c r="H19" t="str">
        <f>DATA!K56</f>
        <v>September</v>
      </c>
      <c r="I19" s="3">
        <f>GETPIVOTDATA("Customer Satisfaction",DATA!$K$46,"Year",2023,"Month","September")</f>
        <v>0.85</v>
      </c>
      <c r="J19" s="3">
        <f>GETPIVOTDATA("Customer Satisfaction",DATA!$K$46,"Year",2024,"Month","September")</f>
        <v>0.85</v>
      </c>
      <c r="K19" s="3">
        <f t="shared" si="1"/>
        <v>0</v>
      </c>
    </row>
    <row r="20" spans="3:11" x14ac:dyDescent="0.3">
      <c r="C20" t="str">
        <f>DATA!K36</f>
        <v>October</v>
      </c>
      <c r="D20" s="6">
        <f>GETPIVOTDATA("Passengers",DATA!$K$25,"Year",2023,"Month","October")</f>
        <v>17100000</v>
      </c>
      <c r="E20" s="6">
        <f>GETPIVOTDATA("Passengers",DATA!$K$25,"Year",2024,"Month","October")</f>
        <v>18300000</v>
      </c>
      <c r="F20" s="7">
        <f t="shared" si="0"/>
        <v>1200000</v>
      </c>
      <c r="H20" t="str">
        <f>DATA!K57</f>
        <v>October</v>
      </c>
      <c r="I20" s="3">
        <f>GETPIVOTDATA("Customer Satisfaction",DATA!$K$46,"Year",2023,"Month","October")</f>
        <v>0.86</v>
      </c>
      <c r="J20" s="3">
        <f>GETPIVOTDATA("Customer Satisfaction",DATA!$K$46,"Year",2024,"Month","October")</f>
        <v>0.85</v>
      </c>
      <c r="K20" s="3">
        <f t="shared" si="1"/>
        <v>-1.0000000000000009E-2</v>
      </c>
    </row>
    <row r="21" spans="3:11" x14ac:dyDescent="0.3">
      <c r="C21" t="str">
        <f>DATA!K37</f>
        <v>November</v>
      </c>
      <c r="D21" s="6">
        <f>GETPIVOTDATA("Passengers",DATA!$K$25,"Year",2023,"Month","November")</f>
        <v>11700000</v>
      </c>
      <c r="E21" s="6">
        <f>GETPIVOTDATA("Passengers",DATA!$K$25,"Year",2024,"Month","November")</f>
        <v>13000000</v>
      </c>
      <c r="F21" s="7">
        <f t="shared" si="0"/>
        <v>1300000</v>
      </c>
      <c r="H21" t="str">
        <f>DATA!K58</f>
        <v>November</v>
      </c>
      <c r="I21" s="3">
        <f>GETPIVOTDATA("Customer Satisfaction",DATA!$K$46,"Year",2023,"Month","November")</f>
        <v>0.87</v>
      </c>
      <c r="J21" s="3">
        <f>GETPIVOTDATA("Customer Satisfaction",DATA!$K$46,"Year",2024,"Month","November")</f>
        <v>0.87</v>
      </c>
      <c r="K21" s="3">
        <f t="shared" si="1"/>
        <v>0</v>
      </c>
    </row>
    <row r="22" spans="3:11" x14ac:dyDescent="0.3">
      <c r="C22" t="str">
        <f>DATA!K38</f>
        <v>December</v>
      </c>
      <c r="D22" s="6">
        <f>GETPIVOTDATA("Passengers",DATA!$K$25,"Year",2023,"Month","December")</f>
        <v>12500000</v>
      </c>
      <c r="E22" s="6">
        <f>GETPIVOTDATA("Passengers",DATA!$K$25,"Year",2024,"Month","December")</f>
        <v>13600000</v>
      </c>
      <c r="F22" s="7">
        <f t="shared" si="0"/>
        <v>1100000</v>
      </c>
      <c r="H22" t="str">
        <f>DATA!K59</f>
        <v>December</v>
      </c>
      <c r="I22" s="3">
        <f>GETPIVOTDATA("Customer Satisfaction",DATA!$K$46,"Year",2023,"Month","December")</f>
        <v>0.85</v>
      </c>
      <c r="J22" s="3">
        <f>GETPIVOTDATA("Customer Satisfaction",DATA!$K$46,"Year",2024,"Month","December")</f>
        <v>0.85</v>
      </c>
      <c r="K22" s="3">
        <f t="shared" si="1"/>
        <v>0</v>
      </c>
    </row>
    <row r="23" spans="3:11" x14ac:dyDescent="0.3">
      <c r="C23" s="16" t="s">
        <v>7</v>
      </c>
      <c r="D23" s="17">
        <f>SUM(D11:D22)</f>
        <v>181700000</v>
      </c>
      <c r="E23" s="17">
        <f>SUM(E11:E22)</f>
        <v>197100000</v>
      </c>
      <c r="F23" s="17">
        <f>SUM(F11:F22)</f>
        <v>15400000</v>
      </c>
      <c r="H23" s="16" t="s">
        <v>7</v>
      </c>
      <c r="I23" s="18">
        <f>AVERAGE(I11:I22)</f>
        <v>0.85916666666666652</v>
      </c>
      <c r="J23" s="18">
        <f t="shared" ref="J23:K23" si="2">AVERAGE(J11:J22)</f>
        <v>0.86083333333333323</v>
      </c>
      <c r="K23" s="18">
        <f t="shared" si="2"/>
        <v>1.6666666666666681E-3</v>
      </c>
    </row>
    <row r="38" spans="3:3" x14ac:dyDescent="0.3">
      <c r="C38" s="19"/>
    </row>
    <row r="39" spans="3:3" x14ac:dyDescent="0.3">
      <c r="C39" s="19" t="s">
        <v>59</v>
      </c>
    </row>
    <row r="40" spans="3:3" x14ac:dyDescent="0.3">
      <c r="C40" s="19"/>
    </row>
    <row r="46" spans="3:3" x14ac:dyDescent="0.3">
      <c r="C46" s="19"/>
    </row>
  </sheetData>
  <mergeCells count="2">
    <mergeCell ref="C9:F9"/>
    <mergeCell ref="H9:K9"/>
  </mergeCells>
  <conditionalFormatting sqref="F11:F22">
    <cfRule type="dataBar" priority="2">
      <dataBar>
        <cfvo type="min"/>
        <cfvo type="max"/>
        <color rgb="FF638EC6"/>
      </dataBar>
      <extLst>
        <ext xmlns:x14="http://schemas.microsoft.com/office/spreadsheetml/2009/9/main" uri="{B025F937-C7B1-47D3-B67F-A62EFF666E3E}">
          <x14:id>{8B16059C-EDBC-4C64-9C22-DF249D3384EF}</x14:id>
        </ext>
      </extLst>
    </cfRule>
  </conditionalFormatting>
  <conditionalFormatting sqref="K11:K22">
    <cfRule type="dataBar" priority="1">
      <dataBar>
        <cfvo type="min"/>
        <cfvo type="max"/>
        <color rgb="FF638EC6"/>
      </dataBar>
      <extLst>
        <ext xmlns:x14="http://schemas.microsoft.com/office/spreadsheetml/2009/9/main" uri="{B025F937-C7B1-47D3-B67F-A62EFF666E3E}">
          <x14:id>{58E2A681-9969-44A5-AEB5-280AB289492B}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B16059C-EDBC-4C64-9C22-DF249D3384EF}">
            <x14:dataBar minLength="0" maxLength="100" border="1" negativeBarBorderColorSameAsPositive="0">
              <x14:cfvo type="autoMin"/>
              <x14:cfvo type="autoMax"/>
              <x14:borderColor rgb="FF638EC6"/>
              <x14:negativeFillColor rgb="FFFF0000"/>
              <x14:negativeBorderColor rgb="FFFF0000"/>
              <x14:axisColor rgb="FF000000"/>
            </x14:dataBar>
          </x14:cfRule>
          <xm:sqref>F11:F22</xm:sqref>
        </x14:conditionalFormatting>
        <x14:conditionalFormatting xmlns:xm="http://schemas.microsoft.com/office/excel/2006/main">
          <x14:cfRule type="dataBar" id="{58E2A681-9969-44A5-AEB5-280AB289492B}">
            <x14:dataBar minLength="0" maxLength="100" border="1" negativeBarBorderColorSameAsPositive="0">
              <x14:cfvo type="autoMin"/>
              <x14:cfvo type="autoMax"/>
              <x14:borderColor rgb="FF638EC6"/>
              <x14:negativeFillColor rgb="FFFF0000"/>
              <x14:negativeBorderColor rgb="FFFF0000"/>
              <x14:axisColor rgb="FF000000"/>
            </x14:dataBar>
          </x14:cfRule>
          <xm:sqref>K11:K22</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78406-10C2-4C2F-947F-F442799451BB}">
  <dimension ref="B2:Z24"/>
  <sheetViews>
    <sheetView showGridLines="0" zoomScale="120" zoomScaleNormal="120" workbookViewId="0">
      <selection activeCell="Z26" sqref="Z26"/>
    </sheetView>
  </sheetViews>
  <sheetFormatPr defaultRowHeight="14.4" x14ac:dyDescent="0.3"/>
  <cols>
    <col min="1" max="1" width="3.77734375" customWidth="1"/>
    <col min="2" max="2" width="27" customWidth="1"/>
    <col min="3" max="23" width="5" customWidth="1"/>
    <col min="24" max="24" width="5" hidden="1" customWidth="1"/>
    <col min="25" max="25" width="18.33203125" customWidth="1"/>
  </cols>
  <sheetData>
    <row r="2" spans="2:26" x14ac:dyDescent="0.3">
      <c r="B2" s="23" t="s">
        <v>67</v>
      </c>
      <c r="Y2" s="23" t="s">
        <v>69</v>
      </c>
    </row>
    <row r="3" spans="2:26" x14ac:dyDescent="0.3">
      <c r="B3" s="10">
        <v>45658</v>
      </c>
      <c r="Y3" s="33">
        <f>COUNTIF(C22:W22,"100%")</f>
        <v>8</v>
      </c>
    </row>
    <row r="5" spans="2:26" x14ac:dyDescent="0.3">
      <c r="B5" s="23" t="s">
        <v>68</v>
      </c>
      <c r="Y5" s="23" t="s">
        <v>70</v>
      </c>
    </row>
    <row r="6" spans="2:26" x14ac:dyDescent="0.3">
      <c r="B6" s="1" t="str">
        <f>_xlfn.XLOOKUP(MAX(X14:X19),X14:X19,B14:B19)</f>
        <v>Pricing policy</v>
      </c>
      <c r="Y6" s="33">
        <f>COUNTIF(C22:W22,"&gt;50%")</f>
        <v>17</v>
      </c>
    </row>
    <row r="8" spans="2:26" x14ac:dyDescent="0.3">
      <c r="B8" s="23" t="s">
        <v>29</v>
      </c>
      <c r="Y8" s="23" t="s">
        <v>71</v>
      </c>
    </row>
    <row r="9" spans="2:26" x14ac:dyDescent="0.3">
      <c r="B9" s="1" t="str">
        <f>_xlfn.XLOOKUP(MIN(X14:X19),X14:X19,B14:B19)</f>
        <v>Flight schedule &amp; routes</v>
      </c>
      <c r="Y9" s="33">
        <f>COUNTIF(C22:W22,"0%")</f>
        <v>1</v>
      </c>
    </row>
    <row r="11" spans="2:26" x14ac:dyDescent="0.3">
      <c r="B11" s="23"/>
      <c r="C11" s="46" t="s">
        <v>23</v>
      </c>
      <c r="D11" s="46"/>
      <c r="E11" s="46"/>
      <c r="F11" s="46"/>
      <c r="G11" s="46"/>
      <c r="H11" s="46"/>
      <c r="I11" s="46"/>
      <c r="J11" s="47" t="s">
        <v>24</v>
      </c>
      <c r="K11" s="47"/>
      <c r="L11" s="47"/>
      <c r="M11" s="47"/>
      <c r="N11" s="47"/>
      <c r="O11" s="47"/>
      <c r="P11" s="47"/>
      <c r="Q11" s="48" t="s">
        <v>25</v>
      </c>
      <c r="R11" s="48"/>
      <c r="S11" s="48"/>
      <c r="T11" s="48"/>
      <c r="U11" s="48"/>
      <c r="V11" s="48"/>
      <c r="W11" s="48"/>
      <c r="Y11" s="14"/>
      <c r="Z11" s="14"/>
    </row>
    <row r="12" spans="2:26" x14ac:dyDescent="0.3">
      <c r="B12" s="23"/>
      <c r="C12" s="25">
        <f>$B$3</f>
        <v>45658</v>
      </c>
      <c r="D12" s="25">
        <f>C12+1</f>
        <v>45659</v>
      </c>
      <c r="E12" s="25">
        <f t="shared" ref="E12:W12" si="0">D12+1</f>
        <v>45660</v>
      </c>
      <c r="F12" s="25">
        <f t="shared" si="0"/>
        <v>45661</v>
      </c>
      <c r="G12" s="25">
        <f t="shared" si="0"/>
        <v>45662</v>
      </c>
      <c r="H12" s="25">
        <f t="shared" si="0"/>
        <v>45663</v>
      </c>
      <c r="I12" s="25">
        <f t="shared" si="0"/>
        <v>45664</v>
      </c>
      <c r="J12" s="27">
        <f t="shared" si="0"/>
        <v>45665</v>
      </c>
      <c r="K12" s="27">
        <f t="shared" si="0"/>
        <v>45666</v>
      </c>
      <c r="L12" s="27">
        <f t="shared" si="0"/>
        <v>45667</v>
      </c>
      <c r="M12" s="27">
        <f t="shared" si="0"/>
        <v>45668</v>
      </c>
      <c r="N12" s="27">
        <f t="shared" si="0"/>
        <v>45669</v>
      </c>
      <c r="O12" s="27">
        <f t="shared" si="0"/>
        <v>45670</v>
      </c>
      <c r="P12" s="27">
        <f t="shared" si="0"/>
        <v>45671</v>
      </c>
      <c r="Q12" s="30">
        <f t="shared" si="0"/>
        <v>45672</v>
      </c>
      <c r="R12" s="30">
        <f t="shared" si="0"/>
        <v>45673</v>
      </c>
      <c r="S12" s="30">
        <f t="shared" si="0"/>
        <v>45674</v>
      </c>
      <c r="T12" s="30">
        <f t="shared" si="0"/>
        <v>45675</v>
      </c>
      <c r="U12" s="30">
        <f t="shared" si="0"/>
        <v>45676</v>
      </c>
      <c r="V12" s="30">
        <f t="shared" si="0"/>
        <v>45677</v>
      </c>
      <c r="W12" s="30">
        <f t="shared" si="0"/>
        <v>45678</v>
      </c>
      <c r="Y12" s="14"/>
      <c r="Z12" s="14"/>
    </row>
    <row r="13" spans="2:26" x14ac:dyDescent="0.3">
      <c r="B13" s="23" t="s">
        <v>60</v>
      </c>
      <c r="C13" s="24" cm="1">
        <f t="array" ref="C13:W13">_xlfn.SEQUENCE(,21)</f>
        <v>1</v>
      </c>
      <c r="D13" s="24">
        <v>2</v>
      </c>
      <c r="E13" s="24">
        <v>3</v>
      </c>
      <c r="F13" s="24">
        <v>4</v>
      </c>
      <c r="G13" s="24">
        <v>5</v>
      </c>
      <c r="H13" s="24">
        <v>6</v>
      </c>
      <c r="I13" s="24">
        <v>7</v>
      </c>
      <c r="J13" s="26">
        <v>8</v>
      </c>
      <c r="K13" s="26">
        <v>9</v>
      </c>
      <c r="L13" s="26">
        <v>10</v>
      </c>
      <c r="M13" s="26">
        <v>11</v>
      </c>
      <c r="N13" s="26">
        <v>12</v>
      </c>
      <c r="O13" s="26">
        <v>13</v>
      </c>
      <c r="P13" s="26">
        <v>14</v>
      </c>
      <c r="Q13" s="29">
        <v>15</v>
      </c>
      <c r="R13" s="29">
        <v>16</v>
      </c>
      <c r="S13" s="29">
        <v>17</v>
      </c>
      <c r="T13" s="29">
        <v>18</v>
      </c>
      <c r="U13" s="29">
        <v>19</v>
      </c>
      <c r="V13" s="29">
        <v>20</v>
      </c>
      <c r="W13" s="29">
        <v>21</v>
      </c>
      <c r="Y13" s="14" t="s">
        <v>28</v>
      </c>
      <c r="Z13" s="14"/>
    </row>
    <row r="14" spans="2:26" x14ac:dyDescent="0.3">
      <c r="B14" t="s">
        <v>61</v>
      </c>
      <c r="C14" s="28" t="b">
        <v>1</v>
      </c>
      <c r="D14" s="28" t="b">
        <v>1</v>
      </c>
      <c r="E14" s="28" t="b">
        <v>1</v>
      </c>
      <c r="F14" s="28" t="b">
        <v>1</v>
      </c>
      <c r="G14" s="28" t="b">
        <v>1</v>
      </c>
      <c r="H14" s="28" t="b">
        <v>1</v>
      </c>
      <c r="I14" s="28" t="b">
        <v>1</v>
      </c>
      <c r="J14" s="28" t="b">
        <v>1</v>
      </c>
      <c r="K14" s="28" t="b">
        <v>1</v>
      </c>
      <c r="L14" s="28" t="b">
        <v>1</v>
      </c>
      <c r="M14" s="28" t="b">
        <v>1</v>
      </c>
      <c r="N14" s="28" t="b">
        <v>0</v>
      </c>
      <c r="O14" s="28" t="b">
        <v>1</v>
      </c>
      <c r="P14" s="28" t="b">
        <v>1</v>
      </c>
      <c r="Q14" s="28" t="b">
        <v>0</v>
      </c>
      <c r="R14" s="28" t="b">
        <v>1</v>
      </c>
      <c r="S14" s="28" t="b">
        <v>0</v>
      </c>
      <c r="T14" s="28" t="b">
        <v>1</v>
      </c>
      <c r="U14" s="28" t="b">
        <v>1</v>
      </c>
      <c r="V14" s="28" t="b">
        <v>1</v>
      </c>
      <c r="W14" s="28" t="b">
        <v>1</v>
      </c>
      <c r="X14">
        <f>COUNTIF(C14:W14,"TRUE")</f>
        <v>18</v>
      </c>
      <c r="Y14" s="32" t="str">
        <f>REPT("|",X14*4)</f>
        <v>||||||||||||||||||||||||||||||||||||||||||||||||||||||||||||||||||||||||</v>
      </c>
    </row>
    <row r="15" spans="2:26" x14ac:dyDescent="0.3">
      <c r="B15" t="s">
        <v>62</v>
      </c>
      <c r="C15" s="28" t="b">
        <v>1</v>
      </c>
      <c r="D15" s="28" t="b">
        <v>1</v>
      </c>
      <c r="E15" s="28" t="b">
        <v>1</v>
      </c>
      <c r="F15" s="28" t="b">
        <v>1</v>
      </c>
      <c r="G15" s="28" t="b">
        <v>1</v>
      </c>
      <c r="H15" s="28" t="b">
        <v>1</v>
      </c>
      <c r="I15" s="28" t="b">
        <v>0</v>
      </c>
      <c r="J15" s="28" t="b">
        <v>1</v>
      </c>
      <c r="K15" s="28" t="b">
        <v>1</v>
      </c>
      <c r="L15" s="28" t="b">
        <v>0</v>
      </c>
      <c r="M15" s="28" t="b">
        <v>1</v>
      </c>
      <c r="N15" s="28" t="b">
        <v>1</v>
      </c>
      <c r="O15" s="28" t="b">
        <v>1</v>
      </c>
      <c r="P15" s="28" t="b">
        <v>1</v>
      </c>
      <c r="Q15" s="28" t="b">
        <v>0</v>
      </c>
      <c r="R15" s="28" t="b">
        <v>0</v>
      </c>
      <c r="S15" s="28" t="b">
        <v>1</v>
      </c>
      <c r="T15" s="28" t="b">
        <v>1</v>
      </c>
      <c r="U15" s="28" t="b">
        <v>1</v>
      </c>
      <c r="V15" s="28" t="b">
        <v>1</v>
      </c>
      <c r="W15" s="28" t="b">
        <v>1</v>
      </c>
      <c r="X15">
        <f t="shared" ref="X15:X19" si="1">COUNTIF(C15:W15,"TRUE")</f>
        <v>17</v>
      </c>
      <c r="Y15" s="32" t="str">
        <f t="shared" ref="Y15:Y19" si="2">REPT("|",X15*4)</f>
        <v>||||||||||||||||||||||||||||||||||||||||||||||||||||||||||||||||||||</v>
      </c>
    </row>
    <row r="16" spans="2:26" x14ac:dyDescent="0.3">
      <c r="B16" t="s">
        <v>63</v>
      </c>
      <c r="C16" s="28" t="b">
        <v>1</v>
      </c>
      <c r="D16" s="28" t="b">
        <v>1</v>
      </c>
      <c r="E16" s="28" t="b">
        <v>0</v>
      </c>
      <c r="F16" s="28" t="b">
        <v>1</v>
      </c>
      <c r="G16" s="28" t="b">
        <v>0</v>
      </c>
      <c r="H16" s="28" t="b">
        <v>0</v>
      </c>
      <c r="I16" s="28" t="b">
        <v>1</v>
      </c>
      <c r="J16" s="28" t="b">
        <v>1</v>
      </c>
      <c r="K16" s="28" t="b">
        <v>1</v>
      </c>
      <c r="L16" s="28" t="b">
        <v>0</v>
      </c>
      <c r="M16" s="28" t="b">
        <v>0</v>
      </c>
      <c r="N16" s="28" t="b">
        <v>1</v>
      </c>
      <c r="O16" s="28" t="b">
        <v>1</v>
      </c>
      <c r="P16" s="28" t="b">
        <v>1</v>
      </c>
      <c r="Q16" s="28" t="b">
        <v>0</v>
      </c>
      <c r="R16" s="28" t="b">
        <v>0</v>
      </c>
      <c r="S16" s="28" t="b">
        <v>1</v>
      </c>
      <c r="T16" s="28" t="b">
        <v>1</v>
      </c>
      <c r="U16" s="28" t="b">
        <v>0</v>
      </c>
      <c r="V16" s="28" t="b">
        <v>1</v>
      </c>
      <c r="W16" s="28" t="b">
        <v>1</v>
      </c>
      <c r="X16">
        <f t="shared" si="1"/>
        <v>13</v>
      </c>
      <c r="Y16" s="32" t="str">
        <f t="shared" si="2"/>
        <v>||||||||||||||||||||||||||||||||||||||||||||||||||||</v>
      </c>
    </row>
    <row r="17" spans="2:25" x14ac:dyDescent="0.3">
      <c r="B17" t="s">
        <v>64</v>
      </c>
      <c r="C17" s="28" t="b">
        <v>1</v>
      </c>
      <c r="D17" s="28" t="b">
        <v>1</v>
      </c>
      <c r="E17" s="28" t="b">
        <v>1</v>
      </c>
      <c r="F17" s="28" t="b">
        <v>1</v>
      </c>
      <c r="G17" s="28" t="b">
        <v>1</v>
      </c>
      <c r="H17" s="28" t="b">
        <v>1</v>
      </c>
      <c r="I17" s="28" t="b">
        <v>1</v>
      </c>
      <c r="J17" s="28" t="b">
        <v>1</v>
      </c>
      <c r="K17" s="28" t="b">
        <v>1</v>
      </c>
      <c r="L17" s="28" t="b">
        <v>0</v>
      </c>
      <c r="M17" s="28" t="b">
        <v>1</v>
      </c>
      <c r="N17" s="28" t="b">
        <v>1</v>
      </c>
      <c r="O17" s="28" t="b">
        <v>0</v>
      </c>
      <c r="P17" s="28" t="b">
        <v>1</v>
      </c>
      <c r="Q17" s="28" t="b">
        <v>0</v>
      </c>
      <c r="R17" s="28" t="b">
        <v>1</v>
      </c>
      <c r="S17" s="28" t="b">
        <v>1</v>
      </c>
      <c r="T17" s="28" t="b">
        <v>1</v>
      </c>
      <c r="U17" s="28" t="b">
        <v>1</v>
      </c>
      <c r="V17" s="28" t="b">
        <v>1</v>
      </c>
      <c r="W17" s="28" t="b">
        <v>0</v>
      </c>
      <c r="X17">
        <f t="shared" si="1"/>
        <v>17</v>
      </c>
      <c r="Y17" s="32" t="str">
        <f t="shared" si="2"/>
        <v>||||||||||||||||||||||||||||||||||||||||||||||||||||||||||||||||||||</v>
      </c>
    </row>
    <row r="18" spans="2:25" x14ac:dyDescent="0.3">
      <c r="B18" t="s">
        <v>65</v>
      </c>
      <c r="C18" s="28" t="b">
        <v>1</v>
      </c>
      <c r="D18" s="28" t="b">
        <v>1</v>
      </c>
      <c r="E18" s="28" t="b">
        <v>1</v>
      </c>
      <c r="F18" s="28" t="b">
        <v>1</v>
      </c>
      <c r="G18" s="28" t="b">
        <v>0</v>
      </c>
      <c r="H18" s="28" t="b">
        <v>1</v>
      </c>
      <c r="I18" s="28" t="b">
        <v>0</v>
      </c>
      <c r="J18" s="28" t="b">
        <v>1</v>
      </c>
      <c r="K18" s="28" t="b">
        <v>1</v>
      </c>
      <c r="L18" s="28" t="b">
        <v>0</v>
      </c>
      <c r="M18" s="28" t="b">
        <v>1</v>
      </c>
      <c r="N18" s="28" t="b">
        <v>0</v>
      </c>
      <c r="O18" s="28" t="b">
        <v>1</v>
      </c>
      <c r="P18" s="28" t="b">
        <v>1</v>
      </c>
      <c r="Q18" s="28" t="b">
        <v>0</v>
      </c>
      <c r="R18" s="28" t="b">
        <v>1</v>
      </c>
      <c r="S18" s="28" t="b">
        <v>0</v>
      </c>
      <c r="T18" s="28" t="b">
        <v>1</v>
      </c>
      <c r="U18" s="28" t="b">
        <v>0</v>
      </c>
      <c r="V18" s="28" t="b">
        <v>1</v>
      </c>
      <c r="W18" s="28" t="b">
        <v>0</v>
      </c>
      <c r="X18">
        <f t="shared" si="1"/>
        <v>13</v>
      </c>
      <c r="Y18" s="32" t="str">
        <f t="shared" si="2"/>
        <v>||||||||||||||||||||||||||||||||||||||||||||||||||||</v>
      </c>
    </row>
    <row r="19" spans="2:25" x14ac:dyDescent="0.3">
      <c r="B19" t="s">
        <v>66</v>
      </c>
      <c r="C19" s="28" t="b">
        <v>1</v>
      </c>
      <c r="D19" s="28" t="b">
        <v>1</v>
      </c>
      <c r="E19" s="28" t="b">
        <v>1</v>
      </c>
      <c r="F19" s="28" t="b">
        <v>1</v>
      </c>
      <c r="G19" s="28" t="b">
        <v>1</v>
      </c>
      <c r="H19" s="28" t="b">
        <v>0</v>
      </c>
      <c r="I19" s="28" t="b">
        <v>0</v>
      </c>
      <c r="J19" s="28" t="b">
        <v>1</v>
      </c>
      <c r="K19" s="28" t="b">
        <v>1</v>
      </c>
      <c r="L19" s="28" t="b">
        <v>0</v>
      </c>
      <c r="M19" s="28" t="b">
        <v>1</v>
      </c>
      <c r="N19" s="28" t="b">
        <v>1</v>
      </c>
      <c r="O19" s="28" t="b">
        <v>1</v>
      </c>
      <c r="P19" s="28" t="b">
        <v>1</v>
      </c>
      <c r="Q19" s="28" t="b">
        <v>0</v>
      </c>
      <c r="R19" s="28" t="b">
        <v>1</v>
      </c>
      <c r="S19" s="28" t="b">
        <v>0</v>
      </c>
      <c r="T19" s="28" t="b">
        <v>1</v>
      </c>
      <c r="U19" s="28" t="b">
        <v>1</v>
      </c>
      <c r="V19" s="28" t="b">
        <v>1</v>
      </c>
      <c r="W19" s="28" t="b">
        <v>1</v>
      </c>
      <c r="X19">
        <f t="shared" si="1"/>
        <v>16</v>
      </c>
      <c r="Y19" s="32" t="str">
        <f t="shared" si="2"/>
        <v>||||||||||||||||||||||||||||||||||||||||||||||||||||||||||||||||</v>
      </c>
    </row>
    <row r="21" spans="2:25" x14ac:dyDescent="0.3">
      <c r="B21" s="11" t="s">
        <v>26</v>
      </c>
      <c r="C21" s="11">
        <f>COUNTIF(C14:C19,"TRUE")</f>
        <v>6</v>
      </c>
      <c r="D21" s="11">
        <f t="shared" ref="D21:W21" si="3">COUNTIF(D14:D19,"TRUE")</f>
        <v>6</v>
      </c>
      <c r="E21" s="11">
        <f t="shared" si="3"/>
        <v>5</v>
      </c>
      <c r="F21" s="11">
        <f t="shared" si="3"/>
        <v>6</v>
      </c>
      <c r="G21" s="11">
        <f t="shared" si="3"/>
        <v>4</v>
      </c>
      <c r="H21" s="11">
        <f t="shared" si="3"/>
        <v>4</v>
      </c>
      <c r="I21" s="11">
        <f t="shared" si="3"/>
        <v>3</v>
      </c>
      <c r="J21" s="11">
        <f t="shared" si="3"/>
        <v>6</v>
      </c>
      <c r="K21" s="11">
        <f t="shared" si="3"/>
        <v>6</v>
      </c>
      <c r="L21" s="11">
        <f t="shared" si="3"/>
        <v>1</v>
      </c>
      <c r="M21" s="11">
        <f t="shared" si="3"/>
        <v>5</v>
      </c>
      <c r="N21" s="11">
        <f t="shared" si="3"/>
        <v>4</v>
      </c>
      <c r="O21" s="11">
        <f t="shared" si="3"/>
        <v>5</v>
      </c>
      <c r="P21" s="11">
        <f t="shared" si="3"/>
        <v>6</v>
      </c>
      <c r="Q21" s="11">
        <f t="shared" si="3"/>
        <v>0</v>
      </c>
      <c r="R21" s="11">
        <f t="shared" si="3"/>
        <v>4</v>
      </c>
      <c r="S21" s="11">
        <f t="shared" si="3"/>
        <v>3</v>
      </c>
      <c r="T21" s="11">
        <f t="shared" si="3"/>
        <v>6</v>
      </c>
      <c r="U21" s="11">
        <f t="shared" si="3"/>
        <v>4</v>
      </c>
      <c r="V21" s="11">
        <f>COUNTIF(V14:V19,"TRUE")</f>
        <v>6</v>
      </c>
      <c r="W21" s="11">
        <f t="shared" si="3"/>
        <v>4</v>
      </c>
    </row>
    <row r="22" spans="2:25" x14ac:dyDescent="0.3">
      <c r="B22" s="11" t="s">
        <v>27</v>
      </c>
      <c r="C22" s="34">
        <f>C21/COUNTA(C14:C19)</f>
        <v>1</v>
      </c>
      <c r="D22" s="34">
        <f t="shared" ref="D22:W22" si="4">D21/COUNTA(D14:D19)</f>
        <v>1</v>
      </c>
      <c r="E22" s="34">
        <f>E21/COUNTA(E14:E19)</f>
        <v>0.83333333333333337</v>
      </c>
      <c r="F22" s="34">
        <f t="shared" si="4"/>
        <v>1</v>
      </c>
      <c r="G22" s="34">
        <f t="shared" si="4"/>
        <v>0.66666666666666663</v>
      </c>
      <c r="H22" s="34">
        <f t="shared" si="4"/>
        <v>0.66666666666666663</v>
      </c>
      <c r="I22" s="34">
        <f t="shared" si="4"/>
        <v>0.5</v>
      </c>
      <c r="J22" s="34">
        <f t="shared" si="4"/>
        <v>1</v>
      </c>
      <c r="K22" s="34">
        <f t="shared" si="4"/>
        <v>1</v>
      </c>
      <c r="L22" s="34">
        <f t="shared" si="4"/>
        <v>0.16666666666666666</v>
      </c>
      <c r="M22" s="34">
        <f t="shared" si="4"/>
        <v>0.83333333333333337</v>
      </c>
      <c r="N22" s="34">
        <f t="shared" si="4"/>
        <v>0.66666666666666663</v>
      </c>
      <c r="O22" s="34">
        <f t="shared" si="4"/>
        <v>0.83333333333333337</v>
      </c>
      <c r="P22" s="34">
        <f t="shared" si="4"/>
        <v>1</v>
      </c>
      <c r="Q22" s="34">
        <f t="shared" si="4"/>
        <v>0</v>
      </c>
      <c r="R22" s="34">
        <f t="shared" si="4"/>
        <v>0.66666666666666663</v>
      </c>
      <c r="S22" s="34">
        <f t="shared" si="4"/>
        <v>0.5</v>
      </c>
      <c r="T22" s="34">
        <f t="shared" si="4"/>
        <v>1</v>
      </c>
      <c r="U22" s="34">
        <f t="shared" si="4"/>
        <v>0.66666666666666663</v>
      </c>
      <c r="V22" s="34">
        <f>V21/COUNTA(V14:V19)</f>
        <v>1</v>
      </c>
      <c r="W22" s="34">
        <f t="shared" si="4"/>
        <v>0.66666666666666663</v>
      </c>
    </row>
    <row r="23" spans="2:25" x14ac:dyDescent="0.3">
      <c r="B23" s="31"/>
      <c r="C23" s="31"/>
      <c r="D23" s="31"/>
      <c r="E23" s="31"/>
      <c r="F23" s="31"/>
      <c r="G23" s="31"/>
      <c r="H23" s="31"/>
      <c r="I23" s="31"/>
      <c r="J23" s="31"/>
      <c r="K23" s="31"/>
      <c r="L23" s="31"/>
      <c r="M23" s="31"/>
      <c r="N23" s="31"/>
      <c r="O23" s="31"/>
      <c r="P23" s="31"/>
      <c r="Q23" s="31"/>
      <c r="R23" s="31"/>
      <c r="S23" s="31"/>
      <c r="T23" s="31"/>
      <c r="U23" s="31"/>
      <c r="V23" s="31"/>
      <c r="W23" s="31"/>
    </row>
    <row r="24" spans="2:25" x14ac:dyDescent="0.3">
      <c r="B24" s="31"/>
      <c r="C24" s="31"/>
      <c r="D24" s="31"/>
      <c r="E24" s="31"/>
      <c r="F24" s="31"/>
      <c r="G24" s="31"/>
      <c r="H24" s="31"/>
      <c r="I24" s="31"/>
      <c r="J24" s="31"/>
      <c r="K24" s="31"/>
      <c r="L24" s="31"/>
      <c r="M24" s="31"/>
      <c r="N24" s="31"/>
      <c r="O24" s="31"/>
      <c r="P24" s="31"/>
      <c r="Q24" s="31"/>
      <c r="R24" s="31"/>
      <c r="S24" s="31"/>
      <c r="T24" s="31"/>
      <c r="U24" s="31"/>
      <c r="V24" s="31"/>
      <c r="W24" s="31"/>
    </row>
  </sheetData>
  <mergeCells count="3">
    <mergeCell ref="C11:I11"/>
    <mergeCell ref="J11:P11"/>
    <mergeCell ref="Q11:W1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5F54-2E90-4097-BFBB-CE4B4EB5D9C4}">
  <dimension ref="A1:E24"/>
  <sheetViews>
    <sheetView showGridLines="0" zoomScale="110" zoomScaleNormal="110" workbookViewId="0">
      <selection activeCell="F12" sqref="F12"/>
    </sheetView>
  </sheetViews>
  <sheetFormatPr defaultRowHeight="14.4" x14ac:dyDescent="0.3"/>
  <cols>
    <col min="1" max="1" width="31.5546875" customWidth="1"/>
    <col min="3" max="3" width="44.33203125" bestFit="1" customWidth="1"/>
    <col min="4" max="4" width="10.33203125" customWidth="1"/>
    <col min="5" max="5" width="9.77734375" customWidth="1"/>
  </cols>
  <sheetData>
    <row r="1" spans="3:5" s="13" customFormat="1" x14ac:dyDescent="0.3"/>
    <row r="2" spans="3:5" s="13" customFormat="1" x14ac:dyDescent="0.3"/>
    <row r="3" spans="3:5" s="13" customFormat="1" x14ac:dyDescent="0.3"/>
    <row r="4" spans="3:5" s="13" customFormat="1" x14ac:dyDescent="0.3"/>
    <row r="5" spans="3:5" s="13" customFormat="1" x14ac:dyDescent="0.3"/>
    <row r="8" spans="3:5" ht="15" thickBot="1" x14ac:dyDescent="0.35">
      <c r="C8" s="44"/>
      <c r="D8" s="42" t="s">
        <v>86</v>
      </c>
    </row>
    <row r="9" spans="3:5" ht="15" thickBot="1" x14ac:dyDescent="0.35">
      <c r="C9" s="37" t="s">
        <v>73</v>
      </c>
      <c r="D9" s="41">
        <v>6521.1</v>
      </c>
      <c r="E9" s="3"/>
    </row>
    <row r="10" spans="3:5" ht="15" thickBot="1" x14ac:dyDescent="0.35">
      <c r="C10" s="39" t="s">
        <v>76</v>
      </c>
      <c r="D10" s="40">
        <v>35.799999999999997</v>
      </c>
      <c r="E10" s="3"/>
    </row>
    <row r="11" spans="3:5" ht="15" thickBot="1" x14ac:dyDescent="0.35">
      <c r="C11" s="39" t="s">
        <v>75</v>
      </c>
      <c r="D11" s="40">
        <v>6485.3</v>
      </c>
      <c r="E11" s="3"/>
    </row>
    <row r="12" spans="3:5" ht="15" thickBot="1" x14ac:dyDescent="0.35">
      <c r="C12" s="37" t="s">
        <v>77</v>
      </c>
      <c r="D12" s="41">
        <v>105.60000000000001</v>
      </c>
      <c r="E12" s="43"/>
    </row>
    <row r="13" spans="3:5" ht="15" thickBot="1" x14ac:dyDescent="0.35">
      <c r="C13" s="39" t="s">
        <v>78</v>
      </c>
      <c r="D13" s="40">
        <v>105.60000000000001</v>
      </c>
      <c r="E13" s="3"/>
    </row>
    <row r="14" spans="3:5" ht="15" thickBot="1" x14ac:dyDescent="0.35">
      <c r="C14" s="37" t="s">
        <v>72</v>
      </c>
      <c r="D14" s="41">
        <v>567.20000000000005</v>
      </c>
      <c r="E14" s="3"/>
    </row>
    <row r="15" spans="3:5" ht="15" thickBot="1" x14ac:dyDescent="0.35">
      <c r="C15" s="39" t="s">
        <v>74</v>
      </c>
      <c r="D15" s="40">
        <v>567.20000000000005</v>
      </c>
      <c r="E15" s="3"/>
    </row>
    <row r="16" spans="3:5" ht="15" thickBot="1" x14ac:dyDescent="0.35">
      <c r="C16" s="37" t="s">
        <v>79</v>
      </c>
      <c r="D16" s="41">
        <v>6982.7000000000007</v>
      </c>
      <c r="E16" s="3"/>
    </row>
    <row r="17" spans="1:5" ht="15" thickBot="1" x14ac:dyDescent="0.35">
      <c r="C17" s="39" t="s">
        <v>80</v>
      </c>
      <c r="D17" s="40">
        <v>20.6</v>
      </c>
      <c r="E17" s="3"/>
    </row>
    <row r="18" spans="1:5" ht="15" thickBot="1" x14ac:dyDescent="0.35">
      <c r="C18" s="39" t="s">
        <v>84</v>
      </c>
      <c r="D18" s="40">
        <v>105.6</v>
      </c>
      <c r="E18" s="3"/>
    </row>
    <row r="19" spans="1:5" ht="15" thickBot="1" x14ac:dyDescent="0.35">
      <c r="C19" s="39" t="s">
        <v>82</v>
      </c>
      <c r="D19" s="40">
        <v>10.5</v>
      </c>
      <c r="E19" s="3"/>
    </row>
    <row r="20" spans="1:5" ht="15" thickBot="1" x14ac:dyDescent="0.35">
      <c r="C20" s="39" t="s">
        <v>83</v>
      </c>
      <c r="D20" s="40">
        <v>2733.6</v>
      </c>
      <c r="E20" s="3"/>
    </row>
    <row r="21" spans="1:5" ht="15" thickBot="1" x14ac:dyDescent="0.35">
      <c r="C21" s="39" t="s">
        <v>81</v>
      </c>
      <c r="D21" s="40">
        <v>4112.4000000000005</v>
      </c>
      <c r="E21" s="3"/>
    </row>
    <row r="22" spans="1:5" x14ac:dyDescent="0.3">
      <c r="E22" s="38"/>
    </row>
    <row r="24" spans="1:5" x14ac:dyDescent="0.3">
      <c r="A24" s="19" t="s">
        <v>87</v>
      </c>
    </row>
  </sheetData>
  <conditionalFormatting pivot="1" sqref="D9:D21">
    <cfRule type="colorScale" priority="1">
      <colorScale>
        <cfvo type="min"/>
        <cfvo type="max"/>
        <color rgb="FF103C8A"/>
        <color rgb="FFF1C933"/>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Facts &amp; Figures</vt:lpstr>
      <vt:lpstr>Customer Satisfaction Tracker</vt:lpstr>
      <vt:lpstr>Company 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Justina Misevičiūtė</cp:lastModifiedBy>
  <dcterms:created xsi:type="dcterms:W3CDTF">2023-11-06T13:17:13Z</dcterms:created>
  <dcterms:modified xsi:type="dcterms:W3CDTF">2025-06-19T09:52:25Z</dcterms:modified>
</cp:coreProperties>
</file>